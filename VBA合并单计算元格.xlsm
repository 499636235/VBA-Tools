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JY\Desktop\"/>
    </mc:Choice>
  </mc:AlternateContent>
  <xr:revisionPtr revIDLastSave="0" documentId="13_ncr:1_{21CC331B-C187-428F-8B82-1959EFA8A598}" xr6:coauthVersionLast="47" xr6:coauthVersionMax="47" xr10:uidLastSave="{00000000-0000-0000-0000-000000000000}"/>
  <bookViews>
    <workbookView xWindow="-120" yWindow="-120" windowWidth="29040" windowHeight="15840" xr2:uid="{8FE63DE7-89F3-45A1-AB30-F8AF17972A82}"/>
  </bookViews>
  <sheets>
    <sheet name="Sheet4" sheetId="4" r:id="rId1"/>
    <sheet name="Sheet5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7" i="4" l="1"/>
  <c r="I27" i="4"/>
  <c r="X26" i="4"/>
  <c r="I26" i="4"/>
  <c r="X25" i="4"/>
  <c r="I25" i="4"/>
  <c r="X24" i="4"/>
  <c r="I24" i="4"/>
  <c r="X23" i="4"/>
  <c r="I23" i="4"/>
  <c r="X22" i="4"/>
  <c r="I22" i="4"/>
  <c r="X21" i="4"/>
  <c r="I21" i="4"/>
  <c r="X20" i="4"/>
  <c r="I20" i="4"/>
  <c r="X19" i="4"/>
  <c r="I19" i="4"/>
  <c r="X18" i="4"/>
  <c r="I18" i="4"/>
  <c r="X17" i="4"/>
  <c r="I17" i="4"/>
  <c r="X16" i="4"/>
  <c r="I16" i="4"/>
  <c r="X15" i="4"/>
  <c r="I15" i="4"/>
  <c r="X14" i="4"/>
  <c r="I14" i="4"/>
  <c r="X13" i="4"/>
  <c r="I13" i="4"/>
  <c r="X12" i="4"/>
  <c r="I12" i="4"/>
  <c r="X11" i="4"/>
  <c r="I11" i="4"/>
  <c r="X10" i="4"/>
  <c r="I10" i="4"/>
  <c r="X9" i="4"/>
  <c r="I9" i="4"/>
  <c r="X8" i="4"/>
  <c r="I8" i="4"/>
  <c r="X7" i="4"/>
  <c r="I7" i="4"/>
  <c r="X6" i="4"/>
  <c r="I6" i="4"/>
  <c r="X5" i="4"/>
  <c r="I5" i="4"/>
  <c r="X4" i="4"/>
  <c r="I4" i="4"/>
  <c r="X3" i="4"/>
  <c r="I3" i="4"/>
  <c r="X2" i="4"/>
  <c r="I2" i="4"/>
  <c r="X1" i="4"/>
  <c r="I1" i="4"/>
  <c r="X27" i="5"/>
  <c r="I27" i="5"/>
  <c r="X26" i="5"/>
  <c r="I26" i="5"/>
  <c r="X25" i="5"/>
  <c r="I25" i="5"/>
  <c r="X24" i="5"/>
  <c r="I24" i="5"/>
  <c r="X23" i="5"/>
  <c r="I23" i="5"/>
  <c r="X22" i="5"/>
  <c r="I22" i="5"/>
  <c r="X21" i="5"/>
  <c r="I21" i="5"/>
  <c r="X20" i="5"/>
  <c r="I20" i="5"/>
  <c r="X19" i="5"/>
  <c r="I19" i="5"/>
  <c r="X18" i="5"/>
  <c r="I18" i="5"/>
  <c r="X17" i="5"/>
  <c r="I17" i="5"/>
  <c r="X16" i="5"/>
  <c r="I16" i="5"/>
  <c r="X15" i="5"/>
  <c r="I15" i="5"/>
  <c r="X14" i="5"/>
  <c r="I14" i="5"/>
  <c r="X13" i="5"/>
  <c r="I13" i="5"/>
  <c r="X12" i="5"/>
  <c r="I12" i="5"/>
  <c r="X11" i="5"/>
  <c r="I11" i="5"/>
  <c r="X10" i="5"/>
  <c r="I10" i="5"/>
  <c r="X9" i="5"/>
  <c r="I9" i="5"/>
  <c r="X8" i="5"/>
  <c r="I8" i="5"/>
  <c r="X7" i="5"/>
  <c r="I7" i="5"/>
  <c r="X6" i="5"/>
  <c r="I6" i="5"/>
  <c r="X5" i="5"/>
  <c r="I5" i="5"/>
  <c r="X4" i="5"/>
  <c r="I4" i="5"/>
  <c r="X3" i="5"/>
  <c r="I3" i="5"/>
  <c r="X2" i="5"/>
  <c r="I2" i="5"/>
  <c r="X1" i="5"/>
  <c r="I1" i="5"/>
</calcChain>
</file>

<file path=xl/sharedStrings.xml><?xml version="1.0" encoding="utf-8"?>
<sst xmlns="http://schemas.openxmlformats.org/spreadsheetml/2006/main" count="664" uniqueCount="95">
  <si>
    <t>华贵大麦定期寿险</t>
  </si>
  <si>
    <t>华贵大麦2020定期寿险</t>
  </si>
  <si>
    <t>华贵爽得利两全保险（分红型）</t>
  </si>
  <si>
    <t>华贵多彩赢家年金保险</t>
  </si>
  <si>
    <t>华贵多彩盛世养老年金保险</t>
  </si>
  <si>
    <t>华贵鑫爱e家终身寿险</t>
  </si>
  <si>
    <t>邱宁</t>
  </si>
  <si>
    <t>毛先刚</t>
  </si>
  <si>
    <t>李军</t>
  </si>
  <si>
    <t>韦贵梅</t>
  </si>
  <si>
    <t>陈时琴</t>
  </si>
  <si>
    <t>任万仙</t>
  </si>
  <si>
    <t>罗永珍</t>
  </si>
  <si>
    <t>霍萍</t>
  </si>
  <si>
    <t>郝湘蜀</t>
  </si>
  <si>
    <t>邓泽盛</t>
  </si>
  <si>
    <t>冒顺芬</t>
  </si>
  <si>
    <t>高德勇</t>
  </si>
  <si>
    <t>黄蓓</t>
  </si>
  <si>
    <t>汪朝敏</t>
  </si>
  <si>
    <t>巫正燕</t>
  </si>
  <si>
    <t>贺儆</t>
  </si>
  <si>
    <t>李雪华</t>
  </si>
  <si>
    <t>骆桂钢</t>
  </si>
  <si>
    <t>刘芷辛</t>
  </si>
  <si>
    <t>0000002014</t>
  </si>
  <si>
    <t>0000002017</t>
  </si>
  <si>
    <t>0000002029</t>
  </si>
  <si>
    <t>0000002031</t>
  </si>
  <si>
    <t>0000002036</t>
  </si>
  <si>
    <t>0000002044</t>
  </si>
  <si>
    <t>0000002047</t>
  </si>
  <si>
    <t>0000002050</t>
  </si>
  <si>
    <t>0000002067</t>
  </si>
  <si>
    <t>0000002119</t>
  </si>
  <si>
    <t>0000002121</t>
  </si>
  <si>
    <t>0000002124</t>
  </si>
  <si>
    <t>0000002126</t>
  </si>
  <si>
    <t>0000002130</t>
  </si>
  <si>
    <t>0000002132</t>
  </si>
  <si>
    <t>0000002136</t>
  </si>
  <si>
    <t>0000002137</t>
  </si>
  <si>
    <t>0000002140</t>
  </si>
  <si>
    <t>0000002149</t>
  </si>
  <si>
    <t>0000002150</t>
  </si>
  <si>
    <t>888030002079251</t>
  </si>
  <si>
    <t>趸交</t>
  </si>
  <si>
    <t>银行代理</t>
  </si>
  <si>
    <t>013A0400</t>
  </si>
  <si>
    <t>86520101</t>
  </si>
  <si>
    <t>贵州省</t>
  </si>
  <si>
    <t>888010000000001</t>
  </si>
  <si>
    <t>2年</t>
  </si>
  <si>
    <t>012D0100</t>
  </si>
  <si>
    <t>520300</t>
  </si>
  <si>
    <t>520000</t>
  </si>
  <si>
    <t>888010000000013</t>
  </si>
  <si>
    <t>520100</t>
  </si>
  <si>
    <t>888010000000011</t>
  </si>
  <si>
    <t>888030000000409</t>
  </si>
  <si>
    <t>012E0100</t>
  </si>
  <si>
    <t>888010000000043</t>
  </si>
  <si>
    <t>888010000000009</t>
  </si>
  <si>
    <t>888010000000022</t>
  </si>
  <si>
    <t>888030000211867</t>
  </si>
  <si>
    <t>888030002028031</t>
  </si>
  <si>
    <t>888050000954005</t>
  </si>
  <si>
    <t>交至65岁</t>
  </si>
  <si>
    <t>网络销售</t>
  </si>
  <si>
    <t>012B1400</t>
  </si>
  <si>
    <t>flag</t>
  </si>
  <si>
    <t>520200</t>
  </si>
  <si>
    <t>0000018989</t>
  </si>
  <si>
    <t>888050000953978</t>
  </si>
  <si>
    <t>888030002390288</t>
  </si>
  <si>
    <t>888050000953375</t>
  </si>
  <si>
    <t>888010000000038</t>
  </si>
  <si>
    <t>888030000224571</t>
  </si>
  <si>
    <t>3年</t>
  </si>
  <si>
    <t>888030000571105</t>
  </si>
  <si>
    <t>20年</t>
  </si>
  <si>
    <t>012B0500</t>
  </si>
  <si>
    <t>888030000000267</t>
  </si>
  <si>
    <t>888030001100422</t>
  </si>
  <si>
    <t>012C0200</t>
  </si>
  <si>
    <t>888030000000262</t>
  </si>
  <si>
    <t>888010000000055</t>
  </si>
  <si>
    <t>888030000930950</t>
  </si>
  <si>
    <t>10年</t>
  </si>
  <si>
    <t>888030000649621</t>
  </si>
  <si>
    <t>888010000000046</t>
  </si>
  <si>
    <t>888030000000142</t>
  </si>
  <si>
    <t>888030000000144</t>
  </si>
  <si>
    <t>卢春燕</t>
  </si>
  <si>
    <t>888030000224335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</si>
</sst>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10"/>
      <name val="微软雅黑"/>
      <family val="2"/>
      <charset val="134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1" fillId="0" borderId="2" xfId="0" applyNumberFormat="1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49" fontId="1" fillId="0" borderId="4" xfId="0" applyNumberFormat="1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B10A5-000E-460D-97B3-6396F5F14D08}">
  <sheetPr codeName="Sheet4"/>
  <dimension ref="A1:X27"/>
  <sheetViews>
    <sheetView tabSelected="1" workbookViewId="0">
      <selection activeCell="C35" sqref="C35"/>
    </sheetView>
  </sheetViews>
  <sheetFormatPr defaultRowHeight="14.25" x14ac:dyDescent="0.2"/>
  <cols>
    <col min="1" max="1" width="11.625" bestFit="1" customWidth="1"/>
  </cols>
  <sheetData>
    <row r="1" spans="1:24" ht="16.5" x14ac:dyDescent="0.35">
      <c r="A1" s="4" t="s">
        <v>25</v>
      </c>
      <c r="B1" s="1" t="s">
        <v>6</v>
      </c>
      <c r="C1" s="1" t="s">
        <v>45</v>
      </c>
      <c r="D1" s="1" t="s">
        <v>2</v>
      </c>
      <c r="E1" s="1">
        <v>1000</v>
      </c>
      <c r="F1" s="1" t="s">
        <v>46</v>
      </c>
      <c r="G1" s="1">
        <v>400000</v>
      </c>
      <c r="H1" s="1" t="s">
        <v>47</v>
      </c>
      <c r="I1" s="1" t="str">
        <f t="shared" ref="I1:I27" si="0">IF(H1="银行代理","03","08")</f>
        <v>03</v>
      </c>
      <c r="J1" s="1">
        <v>50</v>
      </c>
      <c r="K1" s="1">
        <v>0</v>
      </c>
      <c r="L1" s="1">
        <v>0</v>
      </c>
      <c r="M1" s="1">
        <v>0</v>
      </c>
      <c r="N1" s="1">
        <v>40000</v>
      </c>
      <c r="O1" s="1">
        <v>400000</v>
      </c>
      <c r="P1" s="1" t="s">
        <v>48</v>
      </c>
      <c r="Q1" s="1">
        <v>0</v>
      </c>
      <c r="R1" s="1">
        <v>520100</v>
      </c>
      <c r="S1" s="1"/>
      <c r="T1" s="1"/>
      <c r="U1" s="1" t="s">
        <v>49</v>
      </c>
      <c r="V1" s="1" t="s">
        <v>25</v>
      </c>
      <c r="W1" s="8" t="s">
        <v>50</v>
      </c>
      <c r="X1">
        <f t="shared" ref="X1:X27" si="1">SUM(J1:M1)</f>
        <v>50</v>
      </c>
    </row>
    <row r="2" spans="1:24" ht="16.5" x14ac:dyDescent="0.35">
      <c r="A2" s="4" t="s">
        <v>26</v>
      </c>
      <c r="B2" s="1" t="s">
        <v>7</v>
      </c>
      <c r="C2" s="1" t="s">
        <v>51</v>
      </c>
      <c r="D2" s="1" t="s">
        <v>3</v>
      </c>
      <c r="E2" s="1">
        <v>2</v>
      </c>
      <c r="F2" s="1" t="s">
        <v>52</v>
      </c>
      <c r="G2" s="1">
        <v>10000</v>
      </c>
      <c r="H2" s="1" t="s">
        <v>47</v>
      </c>
      <c r="I2" s="1" t="str">
        <f t="shared" si="0"/>
        <v>03</v>
      </c>
      <c r="J2" s="1">
        <v>25</v>
      </c>
      <c r="K2" s="1">
        <v>5</v>
      </c>
      <c r="L2" s="1">
        <v>0</v>
      </c>
      <c r="M2" s="1">
        <v>0</v>
      </c>
      <c r="N2" s="1">
        <v>20000</v>
      </c>
      <c r="O2" s="1">
        <v>20000</v>
      </c>
      <c r="P2" s="1" t="s">
        <v>53</v>
      </c>
      <c r="Q2" s="1">
        <v>12</v>
      </c>
      <c r="R2" s="1">
        <v>520100</v>
      </c>
      <c r="S2" s="1" t="s">
        <v>54</v>
      </c>
      <c r="T2" s="1" t="s">
        <v>55</v>
      </c>
      <c r="U2" s="1" t="s">
        <v>49</v>
      </c>
      <c r="V2" s="1" t="s">
        <v>26</v>
      </c>
      <c r="W2" s="8" t="s">
        <v>50</v>
      </c>
      <c r="X2">
        <f t="shared" si="1"/>
        <v>30</v>
      </c>
    </row>
    <row r="3" spans="1:24" ht="16.5" x14ac:dyDescent="0.35">
      <c r="A3" s="4" t="s">
        <v>27</v>
      </c>
      <c r="B3" s="1" t="s">
        <v>8</v>
      </c>
      <c r="C3" s="1" t="s">
        <v>56</v>
      </c>
      <c r="D3" s="1" t="s">
        <v>3</v>
      </c>
      <c r="E3" s="1">
        <v>2</v>
      </c>
      <c r="F3" s="1" t="s">
        <v>52</v>
      </c>
      <c r="G3" s="1">
        <v>20000</v>
      </c>
      <c r="H3" s="1" t="s">
        <v>47</v>
      </c>
      <c r="I3" s="1" t="str">
        <f t="shared" si="0"/>
        <v>03</v>
      </c>
      <c r="J3" s="1">
        <v>50</v>
      </c>
      <c r="K3" s="1">
        <v>5</v>
      </c>
      <c r="L3" s="1">
        <v>0</v>
      </c>
      <c r="M3" s="1">
        <v>0</v>
      </c>
      <c r="N3" s="1">
        <v>40000</v>
      </c>
      <c r="O3" s="1">
        <v>40000</v>
      </c>
      <c r="P3" s="1" t="s">
        <v>53</v>
      </c>
      <c r="Q3" s="1">
        <v>12</v>
      </c>
      <c r="R3" s="1" t="s">
        <v>57</v>
      </c>
      <c r="S3" s="1" t="s">
        <v>57</v>
      </c>
      <c r="T3" s="1" t="s">
        <v>55</v>
      </c>
      <c r="U3" s="1" t="s">
        <v>49</v>
      </c>
      <c r="V3" s="1" t="s">
        <v>27</v>
      </c>
      <c r="W3" s="8" t="s">
        <v>50</v>
      </c>
      <c r="X3">
        <f t="shared" si="1"/>
        <v>55</v>
      </c>
    </row>
    <row r="4" spans="1:24" ht="16.5" x14ac:dyDescent="0.35">
      <c r="A4" s="5" t="s">
        <v>28</v>
      </c>
      <c r="B4" s="2" t="s">
        <v>9</v>
      </c>
      <c r="C4" s="1" t="s">
        <v>58</v>
      </c>
      <c r="D4" s="1" t="s">
        <v>3</v>
      </c>
      <c r="E4" s="1">
        <v>2</v>
      </c>
      <c r="F4" s="1" t="s">
        <v>52</v>
      </c>
      <c r="G4" s="1">
        <v>10000</v>
      </c>
      <c r="H4" s="1" t="s">
        <v>47</v>
      </c>
      <c r="I4" s="1" t="str">
        <f t="shared" si="0"/>
        <v>03</v>
      </c>
      <c r="J4" s="2">
        <v>37.5</v>
      </c>
      <c r="K4" s="2">
        <v>5</v>
      </c>
      <c r="L4" s="2">
        <v>0</v>
      </c>
      <c r="M4" s="2">
        <v>0</v>
      </c>
      <c r="N4" s="2">
        <v>30000</v>
      </c>
      <c r="O4" s="1">
        <v>20000</v>
      </c>
      <c r="P4" s="1" t="s">
        <v>53</v>
      </c>
      <c r="Q4" s="1">
        <v>12</v>
      </c>
      <c r="R4" s="1" t="s">
        <v>57</v>
      </c>
      <c r="S4" s="1" t="s">
        <v>57</v>
      </c>
      <c r="T4" s="1" t="s">
        <v>55</v>
      </c>
      <c r="U4" s="1" t="s">
        <v>49</v>
      </c>
      <c r="V4" s="1" t="s">
        <v>28</v>
      </c>
      <c r="W4" s="8" t="s">
        <v>50</v>
      </c>
      <c r="X4">
        <f t="shared" si="1"/>
        <v>42.5</v>
      </c>
    </row>
    <row r="5" spans="1:24" ht="16.5" x14ac:dyDescent="0.35">
      <c r="A5" s="6"/>
      <c r="B5" s="3"/>
      <c r="C5" s="1" t="s">
        <v>59</v>
      </c>
      <c r="D5" s="1" t="s">
        <v>4</v>
      </c>
      <c r="E5" s="1">
        <v>1000</v>
      </c>
      <c r="F5" s="1" t="s">
        <v>46</v>
      </c>
      <c r="G5" s="1">
        <v>100000</v>
      </c>
      <c r="H5" s="1" t="s">
        <v>47</v>
      </c>
      <c r="I5" s="1" t="str">
        <f t="shared" si="0"/>
        <v>03</v>
      </c>
      <c r="J5" s="3"/>
      <c r="K5" s="3"/>
      <c r="L5" s="3"/>
      <c r="M5" s="3"/>
      <c r="N5" s="3"/>
      <c r="O5" s="1">
        <v>100000</v>
      </c>
      <c r="P5" s="1" t="s">
        <v>60</v>
      </c>
      <c r="Q5" s="1">
        <v>0</v>
      </c>
      <c r="R5" s="1" t="s">
        <v>57</v>
      </c>
      <c r="S5" s="1" t="s">
        <v>57</v>
      </c>
      <c r="T5" s="1" t="s">
        <v>55</v>
      </c>
      <c r="U5" s="1" t="s">
        <v>49</v>
      </c>
      <c r="V5" s="1" t="s">
        <v>28</v>
      </c>
      <c r="W5" s="8" t="s">
        <v>50</v>
      </c>
      <c r="X5">
        <f t="shared" si="1"/>
        <v>0</v>
      </c>
    </row>
    <row r="6" spans="1:24" ht="16.5" x14ac:dyDescent="0.35">
      <c r="A6" s="4" t="s">
        <v>29</v>
      </c>
      <c r="B6" s="1" t="s">
        <v>10</v>
      </c>
      <c r="C6" s="1" t="s">
        <v>61</v>
      </c>
      <c r="D6" s="1" t="s">
        <v>3</v>
      </c>
      <c r="E6" s="1">
        <v>2</v>
      </c>
      <c r="F6" s="1" t="s">
        <v>52</v>
      </c>
      <c r="G6" s="1">
        <v>10000</v>
      </c>
      <c r="H6" s="1" t="s">
        <v>47</v>
      </c>
      <c r="I6" s="1" t="str">
        <f t="shared" si="0"/>
        <v>03</v>
      </c>
      <c r="J6" s="1">
        <v>25</v>
      </c>
      <c r="K6" s="1">
        <v>5</v>
      </c>
      <c r="L6" s="1">
        <v>0</v>
      </c>
      <c r="M6" s="1">
        <v>0</v>
      </c>
      <c r="N6" s="1">
        <v>20000</v>
      </c>
      <c r="O6" s="1">
        <v>20000</v>
      </c>
      <c r="P6" s="1" t="s">
        <v>53</v>
      </c>
      <c r="Q6" s="1">
        <v>12</v>
      </c>
      <c r="R6" s="1" t="s">
        <v>57</v>
      </c>
      <c r="S6" s="1" t="s">
        <v>57</v>
      </c>
      <c r="T6" s="1" t="s">
        <v>55</v>
      </c>
      <c r="U6" s="1" t="s">
        <v>49</v>
      </c>
      <c r="V6" s="1" t="s">
        <v>29</v>
      </c>
      <c r="W6" s="8" t="s">
        <v>50</v>
      </c>
      <c r="X6">
        <f t="shared" si="1"/>
        <v>30</v>
      </c>
    </row>
    <row r="7" spans="1:24" ht="16.5" x14ac:dyDescent="0.35">
      <c r="A7" s="4" t="s">
        <v>30</v>
      </c>
      <c r="B7" s="1" t="s">
        <v>11</v>
      </c>
      <c r="C7" s="1" t="s">
        <v>62</v>
      </c>
      <c r="D7" s="1" t="s">
        <v>3</v>
      </c>
      <c r="E7" s="1">
        <v>2</v>
      </c>
      <c r="F7" s="1" t="s">
        <v>52</v>
      </c>
      <c r="G7" s="1">
        <v>10000</v>
      </c>
      <c r="H7" s="1" t="s">
        <v>47</v>
      </c>
      <c r="I7" s="1" t="str">
        <f t="shared" si="0"/>
        <v>03</v>
      </c>
      <c r="J7" s="1">
        <v>25</v>
      </c>
      <c r="K7" s="1">
        <v>5</v>
      </c>
      <c r="L7" s="1">
        <v>0</v>
      </c>
      <c r="M7" s="1">
        <v>0</v>
      </c>
      <c r="N7" s="1">
        <v>20000</v>
      </c>
      <c r="O7" s="1">
        <v>20000</v>
      </c>
      <c r="P7" s="1" t="s">
        <v>53</v>
      </c>
      <c r="Q7" s="1">
        <v>12</v>
      </c>
      <c r="R7" s="1" t="s">
        <v>57</v>
      </c>
      <c r="S7" s="1" t="s">
        <v>54</v>
      </c>
      <c r="T7" s="1" t="s">
        <v>55</v>
      </c>
      <c r="U7" s="1" t="s">
        <v>49</v>
      </c>
      <c r="V7" s="1" t="s">
        <v>30</v>
      </c>
      <c r="W7" s="8" t="s">
        <v>50</v>
      </c>
      <c r="X7">
        <f t="shared" si="1"/>
        <v>30</v>
      </c>
    </row>
    <row r="8" spans="1:24" ht="16.5" x14ac:dyDescent="0.35">
      <c r="A8" s="4" t="s">
        <v>31</v>
      </c>
      <c r="B8" s="1" t="s">
        <v>12</v>
      </c>
      <c r="C8" s="1" t="s">
        <v>63</v>
      </c>
      <c r="D8" s="1" t="s">
        <v>3</v>
      </c>
      <c r="E8" s="1">
        <v>2</v>
      </c>
      <c r="F8" s="1" t="s">
        <v>52</v>
      </c>
      <c r="G8" s="1">
        <v>50000</v>
      </c>
      <c r="H8" s="1" t="s">
        <v>47</v>
      </c>
      <c r="I8" s="1" t="str">
        <f t="shared" si="0"/>
        <v>03</v>
      </c>
      <c r="J8" s="1">
        <v>125</v>
      </c>
      <c r="K8" s="1">
        <v>5</v>
      </c>
      <c r="L8" s="1">
        <v>0</v>
      </c>
      <c r="M8" s="1">
        <v>0</v>
      </c>
      <c r="N8" s="1">
        <v>100000</v>
      </c>
      <c r="O8" s="1">
        <v>100000</v>
      </c>
      <c r="P8" s="1" t="s">
        <v>53</v>
      </c>
      <c r="Q8" s="1">
        <v>12</v>
      </c>
      <c r="R8" s="1" t="s">
        <v>57</v>
      </c>
      <c r="S8" s="1" t="s">
        <v>54</v>
      </c>
      <c r="T8" s="1" t="s">
        <v>55</v>
      </c>
      <c r="U8" s="1" t="s">
        <v>49</v>
      </c>
      <c r="V8" s="1" t="s">
        <v>31</v>
      </c>
      <c r="W8" s="8" t="s">
        <v>50</v>
      </c>
      <c r="X8">
        <f t="shared" si="1"/>
        <v>130</v>
      </c>
    </row>
    <row r="9" spans="1:24" ht="16.5" x14ac:dyDescent="0.35">
      <c r="A9" s="4" t="s">
        <v>32</v>
      </c>
      <c r="B9" s="1" t="s">
        <v>13</v>
      </c>
      <c r="C9" s="1" t="s">
        <v>64</v>
      </c>
      <c r="D9" s="1" t="s">
        <v>4</v>
      </c>
      <c r="E9" s="1">
        <v>1000</v>
      </c>
      <c r="F9" s="1" t="s">
        <v>46</v>
      </c>
      <c r="G9" s="1">
        <v>100000</v>
      </c>
      <c r="H9" s="1" t="s">
        <v>47</v>
      </c>
      <c r="I9" s="1" t="str">
        <f t="shared" si="0"/>
        <v>03</v>
      </c>
      <c r="J9" s="1">
        <v>12.5</v>
      </c>
      <c r="K9" s="1">
        <v>0</v>
      </c>
      <c r="L9" s="1">
        <v>0</v>
      </c>
      <c r="M9" s="1">
        <v>0</v>
      </c>
      <c r="N9" s="1">
        <v>10000</v>
      </c>
      <c r="O9" s="1">
        <v>100000</v>
      </c>
      <c r="P9" s="1" t="s">
        <v>60</v>
      </c>
      <c r="Q9" s="1">
        <v>0</v>
      </c>
      <c r="R9" s="1" t="s">
        <v>57</v>
      </c>
      <c r="S9" s="1" t="s">
        <v>57</v>
      </c>
      <c r="T9" s="1" t="s">
        <v>55</v>
      </c>
      <c r="U9" s="1" t="s">
        <v>49</v>
      </c>
      <c r="V9" s="1" t="s">
        <v>32</v>
      </c>
      <c r="W9" s="8" t="s">
        <v>50</v>
      </c>
      <c r="X9">
        <f t="shared" si="1"/>
        <v>12.5</v>
      </c>
    </row>
    <row r="10" spans="1:24" ht="16.5" x14ac:dyDescent="0.35">
      <c r="A10" s="4" t="s">
        <v>33</v>
      </c>
      <c r="B10" s="1" t="s">
        <v>14</v>
      </c>
      <c r="C10" s="1" t="s">
        <v>65</v>
      </c>
      <c r="D10" s="1" t="s">
        <v>2</v>
      </c>
      <c r="E10" s="1">
        <v>1000</v>
      </c>
      <c r="F10" s="1" t="s">
        <v>46</v>
      </c>
      <c r="G10" s="1">
        <v>100000</v>
      </c>
      <c r="H10" s="1" t="s">
        <v>47</v>
      </c>
      <c r="I10" s="1" t="str">
        <f t="shared" si="0"/>
        <v>03</v>
      </c>
      <c r="J10" s="1">
        <v>12.5</v>
      </c>
      <c r="K10" s="1">
        <v>0</v>
      </c>
      <c r="L10" s="1">
        <v>0</v>
      </c>
      <c r="M10" s="1">
        <v>0</v>
      </c>
      <c r="N10" s="1">
        <v>10000</v>
      </c>
      <c r="O10" s="1">
        <v>100000</v>
      </c>
      <c r="P10" s="1" t="s">
        <v>48</v>
      </c>
      <c r="Q10" s="1">
        <v>0</v>
      </c>
      <c r="R10" s="1" t="s">
        <v>57</v>
      </c>
      <c r="S10" s="1" t="s">
        <v>57</v>
      </c>
      <c r="T10" s="1" t="s">
        <v>55</v>
      </c>
      <c r="U10" s="1" t="s">
        <v>49</v>
      </c>
      <c r="V10" s="1" t="s">
        <v>33</v>
      </c>
      <c r="W10" s="8" t="s">
        <v>50</v>
      </c>
      <c r="X10">
        <f t="shared" si="1"/>
        <v>12.5</v>
      </c>
    </row>
    <row r="11" spans="1:24" ht="16.5" x14ac:dyDescent="0.35">
      <c r="A11" s="5" t="s">
        <v>34</v>
      </c>
      <c r="B11" s="2" t="s">
        <v>15</v>
      </c>
      <c r="C11" s="1" t="s">
        <v>66</v>
      </c>
      <c r="D11" s="1" t="s">
        <v>1</v>
      </c>
      <c r="E11" s="1">
        <v>29</v>
      </c>
      <c r="F11" s="1" t="s">
        <v>67</v>
      </c>
      <c r="G11" s="1">
        <v>561.5</v>
      </c>
      <c r="H11" s="1" t="s">
        <v>68</v>
      </c>
      <c r="I11" s="1" t="str">
        <f t="shared" si="0"/>
        <v>08</v>
      </c>
      <c r="J11" s="2">
        <v>18</v>
      </c>
      <c r="K11" s="2">
        <v>15</v>
      </c>
      <c r="L11" s="2">
        <v>10</v>
      </c>
      <c r="M11" s="2">
        <v>5</v>
      </c>
      <c r="N11" s="2">
        <v>11810</v>
      </c>
      <c r="O11" s="1">
        <v>2246</v>
      </c>
      <c r="P11" s="1" t="s">
        <v>69</v>
      </c>
      <c r="Q11" s="1">
        <v>12</v>
      </c>
      <c r="R11" s="1" t="s">
        <v>70</v>
      </c>
      <c r="S11" s="1" t="s">
        <v>71</v>
      </c>
      <c r="T11" s="1" t="s">
        <v>55</v>
      </c>
      <c r="U11" s="1" t="s">
        <v>49</v>
      </c>
      <c r="V11" s="1" t="s">
        <v>72</v>
      </c>
      <c r="W11" s="8" t="s">
        <v>50</v>
      </c>
      <c r="X11">
        <f t="shared" si="1"/>
        <v>48</v>
      </c>
    </row>
    <row r="12" spans="1:24" ht="16.5" x14ac:dyDescent="0.35">
      <c r="A12" s="6"/>
      <c r="B12" s="3"/>
      <c r="C12" s="1" t="s">
        <v>73</v>
      </c>
      <c r="D12" s="1" t="s">
        <v>1</v>
      </c>
      <c r="E12" s="1">
        <v>24</v>
      </c>
      <c r="F12" s="1" t="s">
        <v>67</v>
      </c>
      <c r="G12" s="1">
        <v>2391</v>
      </c>
      <c r="H12" s="1" t="s">
        <v>68</v>
      </c>
      <c r="I12" s="1" t="str">
        <f t="shared" si="0"/>
        <v>08</v>
      </c>
      <c r="J12" s="3"/>
      <c r="K12" s="3"/>
      <c r="L12" s="3"/>
      <c r="M12" s="3"/>
      <c r="N12" s="3"/>
      <c r="O12" s="1">
        <v>9564</v>
      </c>
      <c r="P12" s="1" t="s">
        <v>69</v>
      </c>
      <c r="Q12" s="1">
        <v>12</v>
      </c>
      <c r="R12" s="1" t="s">
        <v>70</v>
      </c>
      <c r="S12" s="1" t="s">
        <v>71</v>
      </c>
      <c r="T12" s="1" t="s">
        <v>55</v>
      </c>
      <c r="U12" s="1" t="s">
        <v>49</v>
      </c>
      <c r="V12" s="1" t="s">
        <v>34</v>
      </c>
      <c r="W12" s="8" t="s">
        <v>50</v>
      </c>
      <c r="X12">
        <f t="shared" si="1"/>
        <v>0</v>
      </c>
    </row>
    <row r="13" spans="1:24" ht="16.5" x14ac:dyDescent="0.35">
      <c r="A13" s="4" t="s">
        <v>35</v>
      </c>
      <c r="B13" s="1" t="s">
        <v>16</v>
      </c>
      <c r="C13" s="1" t="s">
        <v>74</v>
      </c>
      <c r="D13" s="1" t="s">
        <v>2</v>
      </c>
      <c r="E13" s="1">
        <v>1000</v>
      </c>
      <c r="F13" s="1" t="s">
        <v>46</v>
      </c>
      <c r="G13" s="1">
        <v>450000</v>
      </c>
      <c r="H13" s="1" t="s">
        <v>47</v>
      </c>
      <c r="I13" s="1" t="str">
        <f t="shared" si="0"/>
        <v>03</v>
      </c>
      <c r="J13" s="1">
        <v>56.3</v>
      </c>
      <c r="K13" s="1">
        <v>0</v>
      </c>
      <c r="L13" s="1">
        <v>0</v>
      </c>
      <c r="M13" s="1">
        <v>0</v>
      </c>
      <c r="N13" s="1">
        <v>45000</v>
      </c>
      <c r="O13" s="1">
        <v>450000</v>
      </c>
      <c r="P13" s="1" t="s">
        <v>48</v>
      </c>
      <c r="Q13" s="1">
        <v>0</v>
      </c>
      <c r="R13" s="1" t="s">
        <v>57</v>
      </c>
      <c r="S13" s="1" t="s">
        <v>57</v>
      </c>
      <c r="T13" s="1" t="s">
        <v>55</v>
      </c>
      <c r="U13" s="1" t="s">
        <v>49</v>
      </c>
      <c r="V13" s="1" t="s">
        <v>35</v>
      </c>
      <c r="W13" s="8" t="s">
        <v>50</v>
      </c>
      <c r="X13">
        <f t="shared" si="1"/>
        <v>56.3</v>
      </c>
    </row>
    <row r="14" spans="1:24" ht="16.5" x14ac:dyDescent="0.35">
      <c r="A14" s="4" t="s">
        <v>36</v>
      </c>
      <c r="B14" s="1" t="s">
        <v>17</v>
      </c>
      <c r="C14" s="1" t="s">
        <v>75</v>
      </c>
      <c r="D14" s="1" t="s">
        <v>1</v>
      </c>
      <c r="E14" s="1">
        <v>23</v>
      </c>
      <c r="F14" s="1" t="s">
        <v>67</v>
      </c>
      <c r="G14" s="1">
        <v>1245</v>
      </c>
      <c r="H14" s="1" t="s">
        <v>68</v>
      </c>
      <c r="I14" s="1" t="str">
        <f t="shared" si="0"/>
        <v>08</v>
      </c>
      <c r="J14" s="1">
        <v>7</v>
      </c>
      <c r="K14" s="1">
        <v>15</v>
      </c>
      <c r="L14" s="1">
        <v>10</v>
      </c>
      <c r="M14" s="1">
        <v>0</v>
      </c>
      <c r="N14" s="1">
        <v>4980</v>
      </c>
      <c r="O14" s="1">
        <v>4980</v>
      </c>
      <c r="P14" s="1" t="s">
        <v>69</v>
      </c>
      <c r="Q14" s="1">
        <v>12</v>
      </c>
      <c r="R14" s="1" t="s">
        <v>70</v>
      </c>
      <c r="S14" s="1" t="s">
        <v>57</v>
      </c>
      <c r="T14" s="1" t="s">
        <v>55</v>
      </c>
      <c r="U14" s="1" t="s">
        <v>49</v>
      </c>
      <c r="V14" s="1" t="s">
        <v>36</v>
      </c>
      <c r="W14" s="8" t="s">
        <v>50</v>
      </c>
      <c r="X14">
        <f t="shared" si="1"/>
        <v>32</v>
      </c>
    </row>
    <row r="15" spans="1:24" ht="16.5" x14ac:dyDescent="0.35">
      <c r="A15" s="4" t="s">
        <v>37</v>
      </c>
      <c r="B15" s="1" t="s">
        <v>18</v>
      </c>
      <c r="C15" s="1" t="s">
        <v>76</v>
      </c>
      <c r="D15" s="1" t="s">
        <v>3</v>
      </c>
      <c r="E15" s="1">
        <v>2</v>
      </c>
      <c r="F15" s="1" t="s">
        <v>52</v>
      </c>
      <c r="G15" s="1">
        <v>50000</v>
      </c>
      <c r="H15" s="1" t="s">
        <v>47</v>
      </c>
      <c r="I15" s="1" t="str">
        <f t="shared" si="0"/>
        <v>03</v>
      </c>
      <c r="J15" s="1">
        <v>125</v>
      </c>
      <c r="K15" s="1">
        <v>5</v>
      </c>
      <c r="L15" s="1">
        <v>0</v>
      </c>
      <c r="M15" s="1">
        <v>0</v>
      </c>
      <c r="N15" s="1">
        <v>100000</v>
      </c>
      <c r="O15" s="1">
        <v>100000</v>
      </c>
      <c r="P15" s="1" t="s">
        <v>53</v>
      </c>
      <c r="Q15" s="1">
        <v>12</v>
      </c>
      <c r="R15" s="1" t="s">
        <v>57</v>
      </c>
      <c r="S15" s="1" t="s">
        <v>57</v>
      </c>
      <c r="T15" s="1" t="s">
        <v>55</v>
      </c>
      <c r="U15" s="1" t="s">
        <v>49</v>
      </c>
      <c r="V15" s="1" t="s">
        <v>37</v>
      </c>
      <c r="W15" s="8" t="s">
        <v>50</v>
      </c>
      <c r="X15">
        <f t="shared" si="1"/>
        <v>130</v>
      </c>
    </row>
    <row r="16" spans="1:24" ht="16.5" x14ac:dyDescent="0.35">
      <c r="A16" s="5" t="s">
        <v>38</v>
      </c>
      <c r="B16" s="2" t="s">
        <v>19</v>
      </c>
      <c r="C16" s="1" t="s">
        <v>77</v>
      </c>
      <c r="D16" s="1" t="s">
        <v>4</v>
      </c>
      <c r="E16" s="1">
        <v>3</v>
      </c>
      <c r="F16" s="1" t="s">
        <v>78</v>
      </c>
      <c r="G16" s="1">
        <v>5000</v>
      </c>
      <c r="H16" s="1" t="s">
        <v>47</v>
      </c>
      <c r="I16" s="1" t="str">
        <f t="shared" si="0"/>
        <v>03</v>
      </c>
      <c r="J16" s="2">
        <v>27</v>
      </c>
      <c r="K16" s="2">
        <v>20</v>
      </c>
      <c r="L16" s="2">
        <v>10</v>
      </c>
      <c r="M16" s="2">
        <v>0</v>
      </c>
      <c r="N16" s="2">
        <v>21100</v>
      </c>
      <c r="O16" s="1">
        <v>15000</v>
      </c>
      <c r="P16" s="1" t="s">
        <v>60</v>
      </c>
      <c r="Q16" s="1">
        <v>12</v>
      </c>
      <c r="R16" s="1" t="s">
        <v>57</v>
      </c>
      <c r="S16" s="1"/>
      <c r="T16" s="1"/>
      <c r="U16" s="1" t="s">
        <v>49</v>
      </c>
      <c r="V16" s="1" t="s">
        <v>38</v>
      </c>
      <c r="W16" s="8" t="s">
        <v>50</v>
      </c>
      <c r="X16">
        <f t="shared" si="1"/>
        <v>57</v>
      </c>
    </row>
    <row r="17" spans="1:24" ht="16.5" x14ac:dyDescent="0.35">
      <c r="A17" s="6"/>
      <c r="B17" s="3"/>
      <c r="C17" s="1" t="s">
        <v>79</v>
      </c>
      <c r="D17" s="1" t="s">
        <v>0</v>
      </c>
      <c r="E17" s="1">
        <v>20</v>
      </c>
      <c r="F17" s="1" t="s">
        <v>80</v>
      </c>
      <c r="G17" s="1">
        <v>1220</v>
      </c>
      <c r="H17" s="1" t="s">
        <v>47</v>
      </c>
      <c r="I17" s="1" t="str">
        <f t="shared" si="0"/>
        <v>03</v>
      </c>
      <c r="J17" s="3"/>
      <c r="K17" s="3"/>
      <c r="L17" s="3"/>
      <c r="M17" s="3"/>
      <c r="N17" s="3"/>
      <c r="O17" s="1">
        <v>6100</v>
      </c>
      <c r="P17" s="1" t="s">
        <v>81</v>
      </c>
      <c r="Q17" s="1">
        <v>12</v>
      </c>
      <c r="R17" s="1" t="s">
        <v>57</v>
      </c>
      <c r="S17" s="1" t="s">
        <v>57</v>
      </c>
      <c r="T17" s="1" t="s">
        <v>55</v>
      </c>
      <c r="U17" s="1" t="s">
        <v>49</v>
      </c>
      <c r="V17" s="1" t="s">
        <v>38</v>
      </c>
      <c r="W17" s="8" t="s">
        <v>50</v>
      </c>
      <c r="X17">
        <f t="shared" si="1"/>
        <v>0</v>
      </c>
    </row>
    <row r="18" spans="1:24" ht="16.5" x14ac:dyDescent="0.35">
      <c r="A18" s="5" t="s">
        <v>39</v>
      </c>
      <c r="B18" s="2" t="s">
        <v>20</v>
      </c>
      <c r="C18" s="1" t="s">
        <v>82</v>
      </c>
      <c r="D18" s="1" t="s">
        <v>4</v>
      </c>
      <c r="E18" s="1">
        <v>1000</v>
      </c>
      <c r="F18" s="1" t="s">
        <v>46</v>
      </c>
      <c r="G18" s="1">
        <v>10000</v>
      </c>
      <c r="H18" s="1" t="s">
        <v>47</v>
      </c>
      <c r="I18" s="1" t="str">
        <f t="shared" si="0"/>
        <v>03</v>
      </c>
      <c r="J18" s="2">
        <v>3.9000000000000004</v>
      </c>
      <c r="K18" s="2">
        <v>0</v>
      </c>
      <c r="L18" s="2">
        <v>0</v>
      </c>
      <c r="M18" s="2">
        <v>0</v>
      </c>
      <c r="N18" s="2">
        <v>3000</v>
      </c>
      <c r="O18" s="1">
        <v>10000</v>
      </c>
      <c r="P18" s="1" t="s">
        <v>60</v>
      </c>
      <c r="Q18" s="1">
        <v>0</v>
      </c>
      <c r="R18" s="1" t="s">
        <v>57</v>
      </c>
      <c r="S18" s="1" t="s">
        <v>57</v>
      </c>
      <c r="T18" s="1" t="s">
        <v>55</v>
      </c>
      <c r="U18" s="1" t="s">
        <v>49</v>
      </c>
      <c r="V18" s="1" t="s">
        <v>39</v>
      </c>
      <c r="W18" s="8" t="s">
        <v>50</v>
      </c>
      <c r="X18">
        <f t="shared" si="1"/>
        <v>3.9000000000000004</v>
      </c>
    </row>
    <row r="19" spans="1:24" ht="16.5" x14ac:dyDescent="0.35">
      <c r="A19" s="7"/>
      <c r="B19" s="9"/>
      <c r="C19" s="1" t="s">
        <v>83</v>
      </c>
      <c r="D19" s="1" t="s">
        <v>5</v>
      </c>
      <c r="E19" s="1">
        <v>1000</v>
      </c>
      <c r="F19" s="1" t="s">
        <v>46</v>
      </c>
      <c r="G19" s="1">
        <v>10000</v>
      </c>
      <c r="H19" s="1" t="s">
        <v>47</v>
      </c>
      <c r="I19" s="1" t="str">
        <f t="shared" si="0"/>
        <v>03</v>
      </c>
      <c r="J19" s="9"/>
      <c r="K19" s="9"/>
      <c r="L19" s="9"/>
      <c r="M19" s="9"/>
      <c r="N19" s="9"/>
      <c r="O19" s="1">
        <v>10000</v>
      </c>
      <c r="P19" s="1" t="s">
        <v>84</v>
      </c>
      <c r="Q19" s="1">
        <v>0</v>
      </c>
      <c r="R19" s="1" t="s">
        <v>57</v>
      </c>
      <c r="S19" s="1" t="s">
        <v>57</v>
      </c>
      <c r="T19" s="1" t="s">
        <v>55</v>
      </c>
      <c r="U19" s="1" t="s">
        <v>49</v>
      </c>
      <c r="V19" s="1" t="s">
        <v>39</v>
      </c>
      <c r="W19" s="8" t="s">
        <v>50</v>
      </c>
      <c r="X19">
        <f t="shared" si="1"/>
        <v>0</v>
      </c>
    </row>
    <row r="20" spans="1:24" ht="16.5" x14ac:dyDescent="0.35">
      <c r="A20" s="6"/>
      <c r="B20" s="3"/>
      <c r="C20" s="1" t="s">
        <v>85</v>
      </c>
      <c r="D20" s="1" t="s">
        <v>4</v>
      </c>
      <c r="E20" s="1">
        <v>1000</v>
      </c>
      <c r="F20" s="1" t="s">
        <v>46</v>
      </c>
      <c r="G20" s="1">
        <v>10000</v>
      </c>
      <c r="H20" s="1" t="s">
        <v>47</v>
      </c>
      <c r="I20" s="1" t="str">
        <f t="shared" si="0"/>
        <v>03</v>
      </c>
      <c r="J20" s="3"/>
      <c r="K20" s="3"/>
      <c r="L20" s="3"/>
      <c r="M20" s="3"/>
      <c r="N20" s="3"/>
      <c r="O20" s="1">
        <v>10000</v>
      </c>
      <c r="P20" s="1" t="s">
        <v>60</v>
      </c>
      <c r="Q20" s="1">
        <v>0</v>
      </c>
      <c r="R20" s="1" t="s">
        <v>57</v>
      </c>
      <c r="S20" s="1" t="s">
        <v>57</v>
      </c>
      <c r="T20" s="1" t="s">
        <v>55</v>
      </c>
      <c r="U20" s="1" t="s">
        <v>49</v>
      </c>
      <c r="V20" s="1" t="s">
        <v>39</v>
      </c>
      <c r="W20" s="8" t="s">
        <v>50</v>
      </c>
      <c r="X20">
        <f t="shared" si="1"/>
        <v>0</v>
      </c>
    </row>
    <row r="21" spans="1:24" ht="16.5" x14ac:dyDescent="0.35">
      <c r="A21" s="4" t="s">
        <v>40</v>
      </c>
      <c r="B21" s="1" t="s">
        <v>21</v>
      </c>
      <c r="C21" s="1" t="s">
        <v>86</v>
      </c>
      <c r="D21" s="1" t="s">
        <v>3</v>
      </c>
      <c r="E21" s="1">
        <v>2</v>
      </c>
      <c r="F21" s="1" t="s">
        <v>52</v>
      </c>
      <c r="G21" s="1">
        <v>30000</v>
      </c>
      <c r="H21" s="1" t="s">
        <v>47</v>
      </c>
      <c r="I21" s="1" t="str">
        <f t="shared" si="0"/>
        <v>03</v>
      </c>
      <c r="J21" s="1">
        <v>75</v>
      </c>
      <c r="K21" s="1">
        <v>5</v>
      </c>
      <c r="L21" s="1">
        <v>0</v>
      </c>
      <c r="M21" s="1">
        <v>0</v>
      </c>
      <c r="N21" s="1">
        <v>60000</v>
      </c>
      <c r="O21" s="1">
        <v>60000</v>
      </c>
      <c r="P21" s="1" t="s">
        <v>53</v>
      </c>
      <c r="Q21" s="1">
        <v>12</v>
      </c>
      <c r="R21" s="1" t="s">
        <v>57</v>
      </c>
      <c r="S21" s="1" t="s">
        <v>57</v>
      </c>
      <c r="T21" s="1" t="s">
        <v>55</v>
      </c>
      <c r="U21" s="1" t="s">
        <v>49</v>
      </c>
      <c r="V21" s="1" t="s">
        <v>40</v>
      </c>
      <c r="W21" s="8" t="s">
        <v>50</v>
      </c>
      <c r="X21">
        <f t="shared" si="1"/>
        <v>80</v>
      </c>
    </row>
    <row r="22" spans="1:24" ht="16.5" x14ac:dyDescent="0.35">
      <c r="A22" s="5" t="s">
        <v>41</v>
      </c>
      <c r="B22" s="2" t="s">
        <v>22</v>
      </c>
      <c r="C22" s="1" t="s">
        <v>87</v>
      </c>
      <c r="D22" s="1" t="s">
        <v>0</v>
      </c>
      <c r="E22" s="1">
        <v>10</v>
      </c>
      <c r="F22" s="1" t="s">
        <v>88</v>
      </c>
      <c r="G22" s="1">
        <v>642</v>
      </c>
      <c r="H22" s="1" t="s">
        <v>47</v>
      </c>
      <c r="I22" s="1" t="str">
        <f t="shared" si="0"/>
        <v>03</v>
      </c>
      <c r="J22" s="2">
        <v>8</v>
      </c>
      <c r="K22" s="2">
        <v>15</v>
      </c>
      <c r="L22" s="2">
        <v>5</v>
      </c>
      <c r="M22" s="2">
        <v>0</v>
      </c>
      <c r="N22" s="2">
        <v>5112</v>
      </c>
      <c r="O22" s="1">
        <v>2568</v>
      </c>
      <c r="P22" s="1" t="s">
        <v>81</v>
      </c>
      <c r="Q22" s="1">
        <v>12</v>
      </c>
      <c r="R22" s="1" t="s">
        <v>57</v>
      </c>
      <c r="S22" s="1"/>
      <c r="T22" s="1"/>
      <c r="U22" s="1" t="s">
        <v>49</v>
      </c>
      <c r="V22" s="1" t="s">
        <v>41</v>
      </c>
      <c r="W22" s="8" t="s">
        <v>50</v>
      </c>
      <c r="X22">
        <f t="shared" si="1"/>
        <v>28</v>
      </c>
    </row>
    <row r="23" spans="1:24" ht="16.5" x14ac:dyDescent="0.35">
      <c r="A23" s="6"/>
      <c r="B23" s="3"/>
      <c r="C23" s="1" t="s">
        <v>89</v>
      </c>
      <c r="D23" s="1" t="s">
        <v>0</v>
      </c>
      <c r="E23" s="1">
        <v>10</v>
      </c>
      <c r="F23" s="1" t="s">
        <v>88</v>
      </c>
      <c r="G23" s="1">
        <v>636</v>
      </c>
      <c r="H23" s="1" t="s">
        <v>47</v>
      </c>
      <c r="I23" s="1" t="str">
        <f t="shared" si="0"/>
        <v>03</v>
      </c>
      <c r="J23" s="3"/>
      <c r="K23" s="3"/>
      <c r="L23" s="3"/>
      <c r="M23" s="3"/>
      <c r="N23" s="3"/>
      <c r="O23" s="1">
        <v>2544</v>
      </c>
      <c r="P23" s="1" t="s">
        <v>81</v>
      </c>
      <c r="Q23" s="1">
        <v>12</v>
      </c>
      <c r="R23" s="1" t="s">
        <v>57</v>
      </c>
      <c r="S23" s="1"/>
      <c r="T23" s="1"/>
      <c r="U23" s="1" t="s">
        <v>49</v>
      </c>
      <c r="V23" s="1" t="s">
        <v>41</v>
      </c>
      <c r="W23" s="8" t="s">
        <v>50</v>
      </c>
      <c r="X23">
        <f t="shared" si="1"/>
        <v>0</v>
      </c>
    </row>
    <row r="24" spans="1:24" ht="16.5" x14ac:dyDescent="0.35">
      <c r="A24" s="4" t="s">
        <v>42</v>
      </c>
      <c r="B24" s="1" t="s">
        <v>23</v>
      </c>
      <c r="C24" s="1" t="s">
        <v>90</v>
      </c>
      <c r="D24" s="1" t="s">
        <v>3</v>
      </c>
      <c r="E24" s="1">
        <v>2</v>
      </c>
      <c r="F24" s="1" t="s">
        <v>52</v>
      </c>
      <c r="G24" s="1">
        <v>10000</v>
      </c>
      <c r="H24" s="1" t="s">
        <v>47</v>
      </c>
      <c r="I24" s="1" t="str">
        <f t="shared" si="0"/>
        <v>03</v>
      </c>
      <c r="J24" s="1">
        <v>25</v>
      </c>
      <c r="K24" s="1">
        <v>5</v>
      </c>
      <c r="L24" s="1">
        <v>0</v>
      </c>
      <c r="M24" s="1">
        <v>0</v>
      </c>
      <c r="N24" s="1">
        <v>20000</v>
      </c>
      <c r="O24" s="1">
        <v>20000</v>
      </c>
      <c r="P24" s="1" t="s">
        <v>53</v>
      </c>
      <c r="Q24" s="1">
        <v>12</v>
      </c>
      <c r="R24" s="1" t="s">
        <v>57</v>
      </c>
      <c r="S24" s="1" t="s">
        <v>57</v>
      </c>
      <c r="T24" s="1" t="s">
        <v>55</v>
      </c>
      <c r="U24" s="1" t="s">
        <v>49</v>
      </c>
      <c r="V24" s="1" t="s">
        <v>42</v>
      </c>
      <c r="W24" s="8" t="s">
        <v>50</v>
      </c>
      <c r="X24">
        <f t="shared" si="1"/>
        <v>30</v>
      </c>
    </row>
    <row r="25" spans="1:24" ht="16.5" x14ac:dyDescent="0.35">
      <c r="A25" s="5" t="s">
        <v>43</v>
      </c>
      <c r="B25" s="2" t="s">
        <v>24</v>
      </c>
      <c r="C25" s="1" t="s">
        <v>91</v>
      </c>
      <c r="D25" s="1" t="s">
        <v>4</v>
      </c>
      <c r="E25" s="1">
        <v>1000</v>
      </c>
      <c r="F25" s="1" t="s">
        <v>46</v>
      </c>
      <c r="G25" s="1">
        <v>200000</v>
      </c>
      <c r="H25" s="1" t="s">
        <v>47</v>
      </c>
      <c r="I25" s="1" t="str">
        <f t="shared" si="0"/>
        <v>03</v>
      </c>
      <c r="J25" s="2">
        <v>50</v>
      </c>
      <c r="K25" s="2">
        <v>0</v>
      </c>
      <c r="L25" s="2">
        <v>0</v>
      </c>
      <c r="M25" s="2">
        <v>0</v>
      </c>
      <c r="N25" s="2">
        <v>40000</v>
      </c>
      <c r="O25" s="1">
        <v>200000</v>
      </c>
      <c r="P25" s="1" t="s">
        <v>60</v>
      </c>
      <c r="Q25" s="1">
        <v>0</v>
      </c>
      <c r="R25" s="1" t="s">
        <v>57</v>
      </c>
      <c r="S25" s="1" t="s">
        <v>57</v>
      </c>
      <c r="T25" s="1" t="s">
        <v>55</v>
      </c>
      <c r="U25" s="1" t="s">
        <v>49</v>
      </c>
      <c r="V25" s="1" t="s">
        <v>43</v>
      </c>
      <c r="W25" s="8" t="s">
        <v>50</v>
      </c>
      <c r="X25">
        <f t="shared" si="1"/>
        <v>50</v>
      </c>
    </row>
    <row r="26" spans="1:24" ht="16.5" x14ac:dyDescent="0.35">
      <c r="A26" s="6"/>
      <c r="B26" s="3"/>
      <c r="C26" s="1" t="s">
        <v>92</v>
      </c>
      <c r="D26" s="1" t="s">
        <v>4</v>
      </c>
      <c r="E26" s="1">
        <v>1000</v>
      </c>
      <c r="F26" s="1" t="s">
        <v>46</v>
      </c>
      <c r="G26" s="1">
        <v>200000</v>
      </c>
      <c r="H26" s="1" t="s">
        <v>47</v>
      </c>
      <c r="I26" s="1" t="str">
        <f t="shared" si="0"/>
        <v>03</v>
      </c>
      <c r="J26" s="3"/>
      <c r="K26" s="3"/>
      <c r="L26" s="3"/>
      <c r="M26" s="3"/>
      <c r="N26" s="3"/>
      <c r="O26" s="1">
        <v>200000</v>
      </c>
      <c r="P26" s="1" t="s">
        <v>60</v>
      </c>
      <c r="Q26" s="1">
        <v>0</v>
      </c>
      <c r="R26" s="1" t="s">
        <v>57</v>
      </c>
      <c r="S26" s="1" t="s">
        <v>57</v>
      </c>
      <c r="T26" s="1" t="s">
        <v>55</v>
      </c>
      <c r="U26" s="1" t="s">
        <v>49</v>
      </c>
      <c r="V26" s="1" t="s">
        <v>43</v>
      </c>
      <c r="W26" s="8" t="s">
        <v>50</v>
      </c>
      <c r="X26">
        <f t="shared" si="1"/>
        <v>0</v>
      </c>
    </row>
    <row r="27" spans="1:24" ht="16.5" x14ac:dyDescent="0.35">
      <c r="A27" s="4" t="s">
        <v>44</v>
      </c>
      <c r="B27" s="1" t="s">
        <v>93</v>
      </c>
      <c r="C27" s="1" t="s">
        <v>94</v>
      </c>
      <c r="D27" s="1" t="s">
        <v>4</v>
      </c>
      <c r="E27" s="1">
        <v>1000</v>
      </c>
      <c r="F27" s="1" t="s">
        <v>46</v>
      </c>
      <c r="G27" s="1">
        <v>300000</v>
      </c>
      <c r="H27" s="1" t="s">
        <v>47</v>
      </c>
      <c r="I27" s="1" t="str">
        <f t="shared" si="0"/>
        <v>03</v>
      </c>
      <c r="J27" s="1">
        <v>37.5</v>
      </c>
      <c r="K27" s="1">
        <v>0</v>
      </c>
      <c r="L27" s="1">
        <v>0</v>
      </c>
      <c r="M27" s="1">
        <v>0</v>
      </c>
      <c r="N27" s="1">
        <v>30000</v>
      </c>
      <c r="O27" s="1">
        <v>300000</v>
      </c>
      <c r="P27" s="1" t="s">
        <v>60</v>
      </c>
      <c r="Q27" s="1">
        <v>0</v>
      </c>
      <c r="R27" s="1" t="s">
        <v>57</v>
      </c>
      <c r="S27" s="1"/>
      <c r="T27" s="1"/>
      <c r="U27" s="1" t="s">
        <v>49</v>
      </c>
      <c r="V27" s="1" t="s">
        <v>44</v>
      </c>
      <c r="W27" s="8" t="s">
        <v>50</v>
      </c>
      <c r="X27">
        <f t="shared" si="1"/>
        <v>37.5</v>
      </c>
    </row>
  </sheetData>
  <mergeCells count="42">
    <mergeCell ref="A25:A26"/>
    <mergeCell ref="B25:B26"/>
    <mergeCell ref="J25:J26"/>
    <mergeCell ref="N25:N26"/>
    <mergeCell ref="K25:K26"/>
    <mergeCell ref="L25:L26"/>
    <mergeCell ref="M25:M26"/>
    <mergeCell ref="A22:A23"/>
    <mergeCell ref="B22:B23"/>
    <mergeCell ref="J22:J23"/>
    <mergeCell ref="N22:N23"/>
    <mergeCell ref="K22:K23"/>
    <mergeCell ref="L22:L23"/>
    <mergeCell ref="M22:M23"/>
    <mergeCell ref="A18:A20"/>
    <mergeCell ref="B18:B20"/>
    <mergeCell ref="J18:J20"/>
    <mergeCell ref="N18:N20"/>
    <mergeCell ref="K18:K20"/>
    <mergeCell ref="L18:L20"/>
    <mergeCell ref="M18:M20"/>
    <mergeCell ref="A16:A17"/>
    <mergeCell ref="B16:B17"/>
    <mergeCell ref="J16:J17"/>
    <mergeCell ref="N16:N17"/>
    <mergeCell ref="K16:K17"/>
    <mergeCell ref="L16:L17"/>
    <mergeCell ref="M16:M17"/>
    <mergeCell ref="A11:A12"/>
    <mergeCell ref="B11:B12"/>
    <mergeCell ref="J11:J12"/>
    <mergeCell ref="N11:N12"/>
    <mergeCell ref="K11:K12"/>
    <mergeCell ref="L11:L12"/>
    <mergeCell ref="M11:M12"/>
    <mergeCell ref="A4:A5"/>
    <mergeCell ref="B4:B5"/>
    <mergeCell ref="J4:J5"/>
    <mergeCell ref="N4:N5"/>
    <mergeCell ref="K4:K5"/>
    <mergeCell ref="L4:L5"/>
    <mergeCell ref="M4:M5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3807-0DF3-4144-A588-772413A2C578}">
  <sheetPr codeName="Sheet5"/>
  <dimension ref="A1:X27"/>
  <sheetViews>
    <sheetView workbookViewId="0">
      <selection activeCell="D33" sqref="D33"/>
    </sheetView>
  </sheetViews>
  <sheetFormatPr defaultRowHeight="14.25" x14ac:dyDescent="0.2"/>
  <cols>
    <col min="1" max="1" width="11.625" bestFit="1" customWidth="1"/>
  </cols>
  <sheetData>
    <row r="1" spans="1:24" ht="16.5" x14ac:dyDescent="0.35">
      <c r="A1" s="4" t="s">
        <v>25</v>
      </c>
      <c r="B1" s="1" t="s">
        <v>6</v>
      </c>
      <c r="C1" s="1" t="s">
        <v>45</v>
      </c>
      <c r="D1" s="1" t="s">
        <v>2</v>
      </c>
      <c r="E1" s="1">
        <v>1000</v>
      </c>
      <c r="F1" s="1" t="s">
        <v>46</v>
      </c>
      <c r="G1" s="1">
        <v>400000</v>
      </c>
      <c r="H1" s="1" t="s">
        <v>47</v>
      </c>
      <c r="I1" s="1" t="str">
        <f t="shared" ref="I1:I27" si="0">IF(H1="银行代理","03","08")</f>
        <v>03</v>
      </c>
      <c r="J1" s="1">
        <v>50</v>
      </c>
      <c r="K1" s="1">
        <v>0</v>
      </c>
      <c r="L1" s="1">
        <v>0</v>
      </c>
      <c r="M1" s="1">
        <v>0</v>
      </c>
      <c r="N1" s="1">
        <v>40000</v>
      </c>
      <c r="O1" s="1">
        <v>400000</v>
      </c>
      <c r="P1" s="1" t="s">
        <v>48</v>
      </c>
      <c r="Q1" s="1">
        <v>0</v>
      </c>
      <c r="R1" s="1">
        <v>520100</v>
      </c>
      <c r="S1" s="1"/>
      <c r="T1" s="1"/>
      <c r="U1" s="1" t="s">
        <v>49</v>
      </c>
      <c r="V1" s="1" t="s">
        <v>25</v>
      </c>
      <c r="W1" s="8" t="s">
        <v>50</v>
      </c>
      <c r="X1">
        <f t="shared" ref="X1:X27" si="1">SUM(J1:M1)</f>
        <v>50</v>
      </c>
    </row>
    <row r="2" spans="1:24" ht="16.5" x14ac:dyDescent="0.35">
      <c r="A2" s="4" t="s">
        <v>26</v>
      </c>
      <c r="B2" s="1" t="s">
        <v>7</v>
      </c>
      <c r="C2" s="1" t="s">
        <v>51</v>
      </c>
      <c r="D2" s="1" t="s">
        <v>3</v>
      </c>
      <c r="E2" s="1">
        <v>2</v>
      </c>
      <c r="F2" s="1" t="s">
        <v>52</v>
      </c>
      <c r="G2" s="1">
        <v>10000</v>
      </c>
      <c r="H2" s="1" t="s">
        <v>47</v>
      </c>
      <c r="I2" s="1" t="str">
        <f t="shared" si="0"/>
        <v>03</v>
      </c>
      <c r="J2" s="1">
        <v>25</v>
      </c>
      <c r="K2" s="1">
        <v>5</v>
      </c>
      <c r="L2" s="1">
        <v>0</v>
      </c>
      <c r="M2" s="1">
        <v>0</v>
      </c>
      <c r="N2" s="1">
        <v>20000</v>
      </c>
      <c r="O2" s="1">
        <v>20000</v>
      </c>
      <c r="P2" s="1" t="s">
        <v>53</v>
      </c>
      <c r="Q2" s="1">
        <v>12</v>
      </c>
      <c r="R2" s="1">
        <v>520100</v>
      </c>
      <c r="S2" s="1" t="s">
        <v>54</v>
      </c>
      <c r="T2" s="1" t="s">
        <v>55</v>
      </c>
      <c r="U2" s="1" t="s">
        <v>49</v>
      </c>
      <c r="V2" s="1" t="s">
        <v>26</v>
      </c>
      <c r="W2" s="8" t="s">
        <v>50</v>
      </c>
      <c r="X2">
        <f t="shared" si="1"/>
        <v>30</v>
      </c>
    </row>
    <row r="3" spans="1:24" ht="16.5" x14ac:dyDescent="0.35">
      <c r="A3" s="4" t="s">
        <v>27</v>
      </c>
      <c r="B3" s="1" t="s">
        <v>8</v>
      </c>
      <c r="C3" s="1" t="s">
        <v>56</v>
      </c>
      <c r="D3" s="1" t="s">
        <v>3</v>
      </c>
      <c r="E3" s="1">
        <v>2</v>
      </c>
      <c r="F3" s="1" t="s">
        <v>52</v>
      </c>
      <c r="G3" s="1">
        <v>20000</v>
      </c>
      <c r="H3" s="1" t="s">
        <v>47</v>
      </c>
      <c r="I3" s="1" t="str">
        <f t="shared" si="0"/>
        <v>03</v>
      </c>
      <c r="J3" s="1">
        <v>50</v>
      </c>
      <c r="K3" s="1">
        <v>5</v>
      </c>
      <c r="L3" s="1">
        <v>0</v>
      </c>
      <c r="M3" s="1">
        <v>0</v>
      </c>
      <c r="N3" s="1">
        <v>40000</v>
      </c>
      <c r="O3" s="1">
        <v>40000</v>
      </c>
      <c r="P3" s="1" t="s">
        <v>53</v>
      </c>
      <c r="Q3" s="1">
        <v>12</v>
      </c>
      <c r="R3" s="1" t="s">
        <v>57</v>
      </c>
      <c r="S3" s="1" t="s">
        <v>57</v>
      </c>
      <c r="T3" s="1" t="s">
        <v>55</v>
      </c>
      <c r="U3" s="1" t="s">
        <v>49</v>
      </c>
      <c r="V3" s="1" t="s">
        <v>27</v>
      </c>
      <c r="W3" s="8" t="s">
        <v>50</v>
      </c>
      <c r="X3">
        <f t="shared" si="1"/>
        <v>55</v>
      </c>
    </row>
    <row r="4" spans="1:24" ht="16.5" x14ac:dyDescent="0.35">
      <c r="A4" s="4" t="s">
        <v>28</v>
      </c>
      <c r="B4" s="1" t="s">
        <v>9</v>
      </c>
      <c r="C4" s="1" t="s">
        <v>58</v>
      </c>
      <c r="D4" s="1" t="s">
        <v>3</v>
      </c>
      <c r="E4" s="1">
        <v>2</v>
      </c>
      <c r="F4" s="1" t="s">
        <v>52</v>
      </c>
      <c r="G4" s="1">
        <v>10000</v>
      </c>
      <c r="H4" s="1" t="s">
        <v>47</v>
      </c>
      <c r="I4" s="1" t="str">
        <f t="shared" si="0"/>
        <v>03</v>
      </c>
      <c r="J4" s="1">
        <v>25</v>
      </c>
      <c r="K4" s="1">
        <v>5</v>
      </c>
      <c r="L4" s="1">
        <v>0</v>
      </c>
      <c r="M4" s="1">
        <v>0</v>
      </c>
      <c r="N4" s="1">
        <v>20000</v>
      </c>
      <c r="O4" s="1">
        <v>20000</v>
      </c>
      <c r="P4" s="1" t="s">
        <v>53</v>
      </c>
      <c r="Q4" s="1">
        <v>12</v>
      </c>
      <c r="R4" s="1" t="s">
        <v>57</v>
      </c>
      <c r="S4" s="1" t="s">
        <v>57</v>
      </c>
      <c r="T4" s="1" t="s">
        <v>55</v>
      </c>
      <c r="U4" s="1" t="s">
        <v>49</v>
      </c>
      <c r="V4" s="1" t="s">
        <v>28</v>
      </c>
      <c r="W4" s="8" t="s">
        <v>50</v>
      </c>
      <c r="X4">
        <f t="shared" si="1"/>
        <v>30</v>
      </c>
    </row>
    <row r="5" spans="1:24" ht="16.5" x14ac:dyDescent="0.35">
      <c r="A5" s="4" t="s">
        <v>28</v>
      </c>
      <c r="B5" s="1" t="s">
        <v>9</v>
      </c>
      <c r="C5" s="1" t="s">
        <v>59</v>
      </c>
      <c r="D5" s="1" t="s">
        <v>4</v>
      </c>
      <c r="E5" s="1">
        <v>1000</v>
      </c>
      <c r="F5" s="1" t="s">
        <v>46</v>
      </c>
      <c r="G5" s="1">
        <v>100000</v>
      </c>
      <c r="H5" s="1" t="s">
        <v>47</v>
      </c>
      <c r="I5" s="1" t="str">
        <f t="shared" si="0"/>
        <v>03</v>
      </c>
      <c r="J5" s="1">
        <v>12.5</v>
      </c>
      <c r="K5" s="1">
        <v>0</v>
      </c>
      <c r="L5" s="1">
        <v>0</v>
      </c>
      <c r="M5" s="1">
        <v>0</v>
      </c>
      <c r="N5" s="1">
        <v>10000</v>
      </c>
      <c r="O5" s="1">
        <v>100000</v>
      </c>
      <c r="P5" s="1" t="s">
        <v>60</v>
      </c>
      <c r="Q5" s="1">
        <v>0</v>
      </c>
      <c r="R5" s="1" t="s">
        <v>57</v>
      </c>
      <c r="S5" s="1" t="s">
        <v>57</v>
      </c>
      <c r="T5" s="1" t="s">
        <v>55</v>
      </c>
      <c r="U5" s="1" t="s">
        <v>49</v>
      </c>
      <c r="V5" s="1" t="s">
        <v>28</v>
      </c>
      <c r="W5" s="8" t="s">
        <v>50</v>
      </c>
      <c r="X5">
        <f t="shared" si="1"/>
        <v>12.5</v>
      </c>
    </row>
    <row r="6" spans="1:24" ht="16.5" x14ac:dyDescent="0.35">
      <c r="A6" s="4" t="s">
        <v>29</v>
      </c>
      <c r="B6" s="1" t="s">
        <v>10</v>
      </c>
      <c r="C6" s="1" t="s">
        <v>61</v>
      </c>
      <c r="D6" s="1" t="s">
        <v>3</v>
      </c>
      <c r="E6" s="1">
        <v>2</v>
      </c>
      <c r="F6" s="1" t="s">
        <v>52</v>
      </c>
      <c r="G6" s="1">
        <v>10000</v>
      </c>
      <c r="H6" s="1" t="s">
        <v>47</v>
      </c>
      <c r="I6" s="1" t="str">
        <f t="shared" si="0"/>
        <v>03</v>
      </c>
      <c r="J6" s="1">
        <v>25</v>
      </c>
      <c r="K6" s="1">
        <v>5</v>
      </c>
      <c r="L6" s="1">
        <v>0</v>
      </c>
      <c r="M6" s="1">
        <v>0</v>
      </c>
      <c r="N6" s="1">
        <v>20000</v>
      </c>
      <c r="O6" s="1">
        <v>20000</v>
      </c>
      <c r="P6" s="1" t="s">
        <v>53</v>
      </c>
      <c r="Q6" s="1">
        <v>12</v>
      </c>
      <c r="R6" s="1" t="s">
        <v>57</v>
      </c>
      <c r="S6" s="1" t="s">
        <v>57</v>
      </c>
      <c r="T6" s="1" t="s">
        <v>55</v>
      </c>
      <c r="U6" s="1" t="s">
        <v>49</v>
      </c>
      <c r="V6" s="1" t="s">
        <v>29</v>
      </c>
      <c r="W6" s="8" t="s">
        <v>50</v>
      </c>
      <c r="X6">
        <f t="shared" si="1"/>
        <v>30</v>
      </c>
    </row>
    <row r="7" spans="1:24" ht="16.5" x14ac:dyDescent="0.35">
      <c r="A7" s="4" t="s">
        <v>30</v>
      </c>
      <c r="B7" s="1" t="s">
        <v>11</v>
      </c>
      <c r="C7" s="1" t="s">
        <v>62</v>
      </c>
      <c r="D7" s="1" t="s">
        <v>3</v>
      </c>
      <c r="E7" s="1">
        <v>2</v>
      </c>
      <c r="F7" s="1" t="s">
        <v>52</v>
      </c>
      <c r="G7" s="1">
        <v>10000</v>
      </c>
      <c r="H7" s="1" t="s">
        <v>47</v>
      </c>
      <c r="I7" s="1" t="str">
        <f t="shared" si="0"/>
        <v>03</v>
      </c>
      <c r="J7" s="1">
        <v>25</v>
      </c>
      <c r="K7" s="1">
        <v>5</v>
      </c>
      <c r="L7" s="1">
        <v>0</v>
      </c>
      <c r="M7" s="1">
        <v>0</v>
      </c>
      <c r="N7" s="1">
        <v>20000</v>
      </c>
      <c r="O7" s="1">
        <v>20000</v>
      </c>
      <c r="P7" s="1" t="s">
        <v>53</v>
      </c>
      <c r="Q7" s="1">
        <v>12</v>
      </c>
      <c r="R7" s="1" t="s">
        <v>57</v>
      </c>
      <c r="S7" s="1" t="s">
        <v>54</v>
      </c>
      <c r="T7" s="1" t="s">
        <v>55</v>
      </c>
      <c r="U7" s="1" t="s">
        <v>49</v>
      </c>
      <c r="V7" s="1" t="s">
        <v>30</v>
      </c>
      <c r="W7" s="8" t="s">
        <v>50</v>
      </c>
      <c r="X7">
        <f t="shared" si="1"/>
        <v>30</v>
      </c>
    </row>
    <row r="8" spans="1:24" ht="16.5" x14ac:dyDescent="0.35">
      <c r="A8" s="4" t="s">
        <v>31</v>
      </c>
      <c r="B8" s="1" t="s">
        <v>12</v>
      </c>
      <c r="C8" s="1" t="s">
        <v>63</v>
      </c>
      <c r="D8" s="1" t="s">
        <v>3</v>
      </c>
      <c r="E8" s="1">
        <v>2</v>
      </c>
      <c r="F8" s="1" t="s">
        <v>52</v>
      </c>
      <c r="G8" s="1">
        <v>50000</v>
      </c>
      <c r="H8" s="1" t="s">
        <v>47</v>
      </c>
      <c r="I8" s="1" t="str">
        <f t="shared" si="0"/>
        <v>03</v>
      </c>
      <c r="J8" s="1">
        <v>125</v>
      </c>
      <c r="K8" s="1">
        <v>5</v>
      </c>
      <c r="L8" s="1">
        <v>0</v>
      </c>
      <c r="M8" s="1">
        <v>0</v>
      </c>
      <c r="N8" s="1">
        <v>100000</v>
      </c>
      <c r="O8" s="1">
        <v>100000</v>
      </c>
      <c r="P8" s="1" t="s">
        <v>53</v>
      </c>
      <c r="Q8" s="1">
        <v>12</v>
      </c>
      <c r="R8" s="1" t="s">
        <v>57</v>
      </c>
      <c r="S8" s="1" t="s">
        <v>54</v>
      </c>
      <c r="T8" s="1" t="s">
        <v>55</v>
      </c>
      <c r="U8" s="1" t="s">
        <v>49</v>
      </c>
      <c r="V8" s="1" t="s">
        <v>31</v>
      </c>
      <c r="W8" s="8" t="s">
        <v>50</v>
      </c>
      <c r="X8">
        <f t="shared" si="1"/>
        <v>130</v>
      </c>
    </row>
    <row r="9" spans="1:24" ht="16.5" x14ac:dyDescent="0.35">
      <c r="A9" s="4" t="s">
        <v>32</v>
      </c>
      <c r="B9" s="1" t="s">
        <v>13</v>
      </c>
      <c r="C9" s="1" t="s">
        <v>64</v>
      </c>
      <c r="D9" s="1" t="s">
        <v>4</v>
      </c>
      <c r="E9" s="1">
        <v>1000</v>
      </c>
      <c r="F9" s="1" t="s">
        <v>46</v>
      </c>
      <c r="G9" s="1">
        <v>100000</v>
      </c>
      <c r="H9" s="1" t="s">
        <v>47</v>
      </c>
      <c r="I9" s="1" t="str">
        <f t="shared" si="0"/>
        <v>03</v>
      </c>
      <c r="J9" s="1">
        <v>12.5</v>
      </c>
      <c r="K9" s="1">
        <v>0</v>
      </c>
      <c r="L9" s="1">
        <v>0</v>
      </c>
      <c r="M9" s="1">
        <v>0</v>
      </c>
      <c r="N9" s="1">
        <v>10000</v>
      </c>
      <c r="O9" s="1">
        <v>100000</v>
      </c>
      <c r="P9" s="1" t="s">
        <v>60</v>
      </c>
      <c r="Q9" s="1">
        <v>0</v>
      </c>
      <c r="R9" s="1" t="s">
        <v>57</v>
      </c>
      <c r="S9" s="1" t="s">
        <v>57</v>
      </c>
      <c r="T9" s="1" t="s">
        <v>55</v>
      </c>
      <c r="U9" s="1" t="s">
        <v>49</v>
      </c>
      <c r="V9" s="1" t="s">
        <v>32</v>
      </c>
      <c r="W9" s="8" t="s">
        <v>50</v>
      </c>
      <c r="X9">
        <f t="shared" si="1"/>
        <v>12.5</v>
      </c>
    </row>
    <row r="10" spans="1:24" ht="16.5" x14ac:dyDescent="0.35">
      <c r="A10" s="4" t="s">
        <v>33</v>
      </c>
      <c r="B10" s="1" t="s">
        <v>14</v>
      </c>
      <c r="C10" s="1" t="s">
        <v>65</v>
      </c>
      <c r="D10" s="1" t="s">
        <v>2</v>
      </c>
      <c r="E10" s="1">
        <v>1000</v>
      </c>
      <c r="F10" s="1" t="s">
        <v>46</v>
      </c>
      <c r="G10" s="1">
        <v>100000</v>
      </c>
      <c r="H10" s="1" t="s">
        <v>47</v>
      </c>
      <c r="I10" s="1" t="str">
        <f t="shared" si="0"/>
        <v>03</v>
      </c>
      <c r="J10" s="1">
        <v>12.5</v>
      </c>
      <c r="K10" s="1">
        <v>0</v>
      </c>
      <c r="L10" s="1">
        <v>0</v>
      </c>
      <c r="M10" s="1">
        <v>0</v>
      </c>
      <c r="N10" s="1">
        <v>10000</v>
      </c>
      <c r="O10" s="1">
        <v>100000</v>
      </c>
      <c r="P10" s="1" t="s">
        <v>48</v>
      </c>
      <c r="Q10" s="1">
        <v>0</v>
      </c>
      <c r="R10" s="1" t="s">
        <v>57</v>
      </c>
      <c r="S10" s="1" t="s">
        <v>57</v>
      </c>
      <c r="T10" s="1" t="s">
        <v>55</v>
      </c>
      <c r="U10" s="1" t="s">
        <v>49</v>
      </c>
      <c r="V10" s="1" t="s">
        <v>33</v>
      </c>
      <c r="W10" s="8" t="s">
        <v>50</v>
      </c>
      <c r="X10">
        <f t="shared" si="1"/>
        <v>12.5</v>
      </c>
    </row>
    <row r="11" spans="1:24" ht="16.5" x14ac:dyDescent="0.35">
      <c r="A11" s="4" t="s">
        <v>34</v>
      </c>
      <c r="B11" s="1" t="s">
        <v>15</v>
      </c>
      <c r="C11" s="1" t="s">
        <v>66</v>
      </c>
      <c r="D11" s="1" t="s">
        <v>1</v>
      </c>
      <c r="E11" s="1">
        <v>29</v>
      </c>
      <c r="F11" s="1" t="s">
        <v>67</v>
      </c>
      <c r="G11" s="1">
        <v>561.5</v>
      </c>
      <c r="H11" s="1" t="s">
        <v>68</v>
      </c>
      <c r="I11" s="1" t="str">
        <f t="shared" si="0"/>
        <v>08</v>
      </c>
      <c r="J11" s="1">
        <v>4</v>
      </c>
      <c r="K11" s="1">
        <v>15</v>
      </c>
      <c r="L11" s="1">
        <v>10</v>
      </c>
      <c r="M11" s="1">
        <v>5</v>
      </c>
      <c r="N11" s="1">
        <v>2246</v>
      </c>
      <c r="O11" s="1">
        <v>2246</v>
      </c>
      <c r="P11" s="1" t="s">
        <v>69</v>
      </c>
      <c r="Q11" s="1">
        <v>12</v>
      </c>
      <c r="R11" s="1" t="s">
        <v>70</v>
      </c>
      <c r="S11" s="1" t="s">
        <v>71</v>
      </c>
      <c r="T11" s="1" t="s">
        <v>55</v>
      </c>
      <c r="U11" s="1" t="s">
        <v>49</v>
      </c>
      <c r="V11" s="1" t="s">
        <v>72</v>
      </c>
      <c r="W11" s="8" t="s">
        <v>50</v>
      </c>
      <c r="X11">
        <f t="shared" si="1"/>
        <v>34</v>
      </c>
    </row>
    <row r="12" spans="1:24" ht="16.5" x14ac:dyDescent="0.35">
      <c r="A12" s="4" t="s">
        <v>34</v>
      </c>
      <c r="B12" s="1" t="s">
        <v>15</v>
      </c>
      <c r="C12" s="1" t="s">
        <v>73</v>
      </c>
      <c r="D12" s="1" t="s">
        <v>1</v>
      </c>
      <c r="E12" s="1">
        <v>24</v>
      </c>
      <c r="F12" s="1" t="s">
        <v>67</v>
      </c>
      <c r="G12" s="1">
        <v>2391</v>
      </c>
      <c r="H12" s="1" t="s">
        <v>68</v>
      </c>
      <c r="I12" s="1" t="str">
        <f t="shared" si="0"/>
        <v>08</v>
      </c>
      <c r="J12" s="1">
        <v>14</v>
      </c>
      <c r="K12" s="1">
        <v>15</v>
      </c>
      <c r="L12" s="1">
        <v>10</v>
      </c>
      <c r="M12" s="1">
        <v>0</v>
      </c>
      <c r="N12" s="1">
        <v>9564</v>
      </c>
      <c r="O12" s="1">
        <v>9564</v>
      </c>
      <c r="P12" s="1" t="s">
        <v>69</v>
      </c>
      <c r="Q12" s="1">
        <v>12</v>
      </c>
      <c r="R12" s="1" t="s">
        <v>70</v>
      </c>
      <c r="S12" s="1" t="s">
        <v>71</v>
      </c>
      <c r="T12" s="1" t="s">
        <v>55</v>
      </c>
      <c r="U12" s="1" t="s">
        <v>49</v>
      </c>
      <c r="V12" s="1" t="s">
        <v>34</v>
      </c>
      <c r="W12" s="8" t="s">
        <v>50</v>
      </c>
      <c r="X12">
        <f t="shared" si="1"/>
        <v>39</v>
      </c>
    </row>
    <row r="13" spans="1:24" ht="16.5" x14ac:dyDescent="0.35">
      <c r="A13" s="4" t="s">
        <v>35</v>
      </c>
      <c r="B13" s="1" t="s">
        <v>16</v>
      </c>
      <c r="C13" s="1" t="s">
        <v>74</v>
      </c>
      <c r="D13" s="1" t="s">
        <v>2</v>
      </c>
      <c r="E13" s="1">
        <v>1000</v>
      </c>
      <c r="F13" s="1" t="s">
        <v>46</v>
      </c>
      <c r="G13" s="1">
        <v>450000</v>
      </c>
      <c r="H13" s="1" t="s">
        <v>47</v>
      </c>
      <c r="I13" s="1" t="str">
        <f t="shared" si="0"/>
        <v>03</v>
      </c>
      <c r="J13" s="1">
        <v>56.3</v>
      </c>
      <c r="K13" s="1">
        <v>0</v>
      </c>
      <c r="L13" s="1">
        <v>0</v>
      </c>
      <c r="M13" s="1">
        <v>0</v>
      </c>
      <c r="N13" s="1">
        <v>45000</v>
      </c>
      <c r="O13" s="1">
        <v>450000</v>
      </c>
      <c r="P13" s="1" t="s">
        <v>48</v>
      </c>
      <c r="Q13" s="1">
        <v>0</v>
      </c>
      <c r="R13" s="1" t="s">
        <v>57</v>
      </c>
      <c r="S13" s="1" t="s">
        <v>57</v>
      </c>
      <c r="T13" s="1" t="s">
        <v>55</v>
      </c>
      <c r="U13" s="1" t="s">
        <v>49</v>
      </c>
      <c r="V13" s="1" t="s">
        <v>35</v>
      </c>
      <c r="W13" s="8" t="s">
        <v>50</v>
      </c>
      <c r="X13">
        <f t="shared" si="1"/>
        <v>56.3</v>
      </c>
    </row>
    <row r="14" spans="1:24" ht="16.5" x14ac:dyDescent="0.35">
      <c r="A14" s="4" t="s">
        <v>36</v>
      </c>
      <c r="B14" s="1" t="s">
        <v>17</v>
      </c>
      <c r="C14" s="1" t="s">
        <v>75</v>
      </c>
      <c r="D14" s="1" t="s">
        <v>1</v>
      </c>
      <c r="E14" s="1">
        <v>23</v>
      </c>
      <c r="F14" s="1" t="s">
        <v>67</v>
      </c>
      <c r="G14" s="1">
        <v>1245</v>
      </c>
      <c r="H14" s="1" t="s">
        <v>68</v>
      </c>
      <c r="I14" s="1" t="str">
        <f t="shared" si="0"/>
        <v>08</v>
      </c>
      <c r="J14" s="1">
        <v>7</v>
      </c>
      <c r="K14" s="1">
        <v>15</v>
      </c>
      <c r="L14" s="1">
        <v>10</v>
      </c>
      <c r="M14" s="1">
        <v>0</v>
      </c>
      <c r="N14" s="1">
        <v>4980</v>
      </c>
      <c r="O14" s="1">
        <v>4980</v>
      </c>
      <c r="P14" s="1" t="s">
        <v>69</v>
      </c>
      <c r="Q14" s="1">
        <v>12</v>
      </c>
      <c r="R14" s="1" t="s">
        <v>70</v>
      </c>
      <c r="S14" s="1" t="s">
        <v>57</v>
      </c>
      <c r="T14" s="1" t="s">
        <v>55</v>
      </c>
      <c r="U14" s="1" t="s">
        <v>49</v>
      </c>
      <c r="V14" s="1" t="s">
        <v>36</v>
      </c>
      <c r="W14" s="8" t="s">
        <v>50</v>
      </c>
      <c r="X14">
        <f t="shared" si="1"/>
        <v>32</v>
      </c>
    </row>
    <row r="15" spans="1:24" ht="16.5" x14ac:dyDescent="0.35">
      <c r="A15" s="4" t="s">
        <v>37</v>
      </c>
      <c r="B15" s="1" t="s">
        <v>18</v>
      </c>
      <c r="C15" s="1" t="s">
        <v>76</v>
      </c>
      <c r="D15" s="1" t="s">
        <v>3</v>
      </c>
      <c r="E15" s="1">
        <v>2</v>
      </c>
      <c r="F15" s="1" t="s">
        <v>52</v>
      </c>
      <c r="G15" s="1">
        <v>50000</v>
      </c>
      <c r="H15" s="1" t="s">
        <v>47</v>
      </c>
      <c r="I15" s="1" t="str">
        <f t="shared" si="0"/>
        <v>03</v>
      </c>
      <c r="J15" s="1">
        <v>125</v>
      </c>
      <c r="K15" s="1">
        <v>5</v>
      </c>
      <c r="L15" s="1">
        <v>0</v>
      </c>
      <c r="M15" s="1">
        <v>0</v>
      </c>
      <c r="N15" s="1">
        <v>100000</v>
      </c>
      <c r="O15" s="1">
        <v>100000</v>
      </c>
      <c r="P15" s="1" t="s">
        <v>53</v>
      </c>
      <c r="Q15" s="1">
        <v>12</v>
      </c>
      <c r="R15" s="1" t="s">
        <v>57</v>
      </c>
      <c r="S15" s="1" t="s">
        <v>57</v>
      </c>
      <c r="T15" s="1" t="s">
        <v>55</v>
      </c>
      <c r="U15" s="1" t="s">
        <v>49</v>
      </c>
      <c r="V15" s="1" t="s">
        <v>37</v>
      </c>
      <c r="W15" s="8" t="s">
        <v>50</v>
      </c>
      <c r="X15">
        <f t="shared" si="1"/>
        <v>130</v>
      </c>
    </row>
    <row r="16" spans="1:24" ht="16.5" x14ac:dyDescent="0.35">
      <c r="A16" s="4" t="s">
        <v>38</v>
      </c>
      <c r="B16" s="1" t="s">
        <v>19</v>
      </c>
      <c r="C16" s="1" t="s">
        <v>77</v>
      </c>
      <c r="D16" s="1" t="s">
        <v>4</v>
      </c>
      <c r="E16" s="1">
        <v>3</v>
      </c>
      <c r="F16" s="1" t="s">
        <v>78</v>
      </c>
      <c r="G16" s="1">
        <v>5000</v>
      </c>
      <c r="H16" s="1" t="s">
        <v>47</v>
      </c>
      <c r="I16" s="1" t="str">
        <f t="shared" si="0"/>
        <v>03</v>
      </c>
      <c r="J16" s="1">
        <v>19</v>
      </c>
      <c r="K16" s="1">
        <v>10</v>
      </c>
      <c r="L16" s="1">
        <v>0</v>
      </c>
      <c r="M16" s="1">
        <v>0</v>
      </c>
      <c r="N16" s="1">
        <v>15000</v>
      </c>
      <c r="O16" s="1">
        <v>15000</v>
      </c>
      <c r="P16" s="1" t="s">
        <v>60</v>
      </c>
      <c r="Q16" s="1">
        <v>12</v>
      </c>
      <c r="R16" s="1" t="s">
        <v>57</v>
      </c>
      <c r="S16" s="1"/>
      <c r="T16" s="1"/>
      <c r="U16" s="1" t="s">
        <v>49</v>
      </c>
      <c r="V16" s="1" t="s">
        <v>38</v>
      </c>
      <c r="W16" s="8" t="s">
        <v>50</v>
      </c>
      <c r="X16">
        <f t="shared" si="1"/>
        <v>29</v>
      </c>
    </row>
    <row r="17" spans="1:24" ht="16.5" x14ac:dyDescent="0.35">
      <c r="A17" s="4" t="s">
        <v>38</v>
      </c>
      <c r="B17" s="1" t="s">
        <v>19</v>
      </c>
      <c r="C17" s="1" t="s">
        <v>79</v>
      </c>
      <c r="D17" s="1" t="s">
        <v>0</v>
      </c>
      <c r="E17" s="1">
        <v>20</v>
      </c>
      <c r="F17" s="1" t="s">
        <v>80</v>
      </c>
      <c r="G17" s="1">
        <v>1220</v>
      </c>
      <c r="H17" s="1" t="s">
        <v>47</v>
      </c>
      <c r="I17" s="1" t="str">
        <f t="shared" si="0"/>
        <v>03</v>
      </c>
      <c r="J17" s="1">
        <v>8</v>
      </c>
      <c r="K17" s="1">
        <v>20</v>
      </c>
      <c r="L17" s="1">
        <v>10</v>
      </c>
      <c r="M17" s="1">
        <v>0</v>
      </c>
      <c r="N17" s="1">
        <v>6100</v>
      </c>
      <c r="O17" s="1">
        <v>6100</v>
      </c>
      <c r="P17" s="1" t="s">
        <v>81</v>
      </c>
      <c r="Q17" s="1">
        <v>12</v>
      </c>
      <c r="R17" s="1" t="s">
        <v>57</v>
      </c>
      <c r="S17" s="1" t="s">
        <v>57</v>
      </c>
      <c r="T17" s="1" t="s">
        <v>55</v>
      </c>
      <c r="U17" s="1" t="s">
        <v>49</v>
      </c>
      <c r="V17" s="1" t="s">
        <v>38</v>
      </c>
      <c r="W17" s="8" t="s">
        <v>50</v>
      </c>
      <c r="X17">
        <f t="shared" si="1"/>
        <v>38</v>
      </c>
    </row>
    <row r="18" spans="1:24" ht="16.5" x14ac:dyDescent="0.35">
      <c r="A18" s="4" t="s">
        <v>39</v>
      </c>
      <c r="B18" s="1" t="s">
        <v>20</v>
      </c>
      <c r="C18" s="1" t="s">
        <v>82</v>
      </c>
      <c r="D18" s="1" t="s">
        <v>4</v>
      </c>
      <c r="E18" s="1">
        <v>1000</v>
      </c>
      <c r="F18" s="1" t="s">
        <v>46</v>
      </c>
      <c r="G18" s="1">
        <v>10000</v>
      </c>
      <c r="H18" s="1" t="s">
        <v>47</v>
      </c>
      <c r="I18" s="1" t="str">
        <f t="shared" si="0"/>
        <v>03</v>
      </c>
      <c r="J18" s="1">
        <v>1.3</v>
      </c>
      <c r="K18" s="1">
        <v>0</v>
      </c>
      <c r="L18" s="1">
        <v>0</v>
      </c>
      <c r="M18" s="1">
        <v>0</v>
      </c>
      <c r="N18" s="1">
        <v>1000</v>
      </c>
      <c r="O18" s="1">
        <v>10000</v>
      </c>
      <c r="P18" s="1" t="s">
        <v>60</v>
      </c>
      <c r="Q18" s="1">
        <v>0</v>
      </c>
      <c r="R18" s="1" t="s">
        <v>57</v>
      </c>
      <c r="S18" s="1" t="s">
        <v>57</v>
      </c>
      <c r="T18" s="1" t="s">
        <v>55</v>
      </c>
      <c r="U18" s="1" t="s">
        <v>49</v>
      </c>
      <c r="V18" s="1" t="s">
        <v>39</v>
      </c>
      <c r="W18" s="8" t="s">
        <v>50</v>
      </c>
      <c r="X18">
        <f t="shared" si="1"/>
        <v>1.3</v>
      </c>
    </row>
    <row r="19" spans="1:24" ht="16.5" x14ac:dyDescent="0.35">
      <c r="A19" s="4" t="s">
        <v>39</v>
      </c>
      <c r="B19" s="1" t="s">
        <v>20</v>
      </c>
      <c r="C19" s="1" t="s">
        <v>83</v>
      </c>
      <c r="D19" s="1" t="s">
        <v>5</v>
      </c>
      <c r="E19" s="1">
        <v>1000</v>
      </c>
      <c r="F19" s="1" t="s">
        <v>46</v>
      </c>
      <c r="G19" s="1">
        <v>10000</v>
      </c>
      <c r="H19" s="1" t="s">
        <v>47</v>
      </c>
      <c r="I19" s="1" t="str">
        <f t="shared" si="0"/>
        <v>03</v>
      </c>
      <c r="J19" s="1">
        <v>1.3</v>
      </c>
      <c r="K19" s="1">
        <v>0</v>
      </c>
      <c r="L19" s="1">
        <v>0</v>
      </c>
      <c r="M19" s="1">
        <v>0</v>
      </c>
      <c r="N19" s="1">
        <v>1000</v>
      </c>
      <c r="O19" s="1">
        <v>10000</v>
      </c>
      <c r="P19" s="1" t="s">
        <v>84</v>
      </c>
      <c r="Q19" s="1">
        <v>0</v>
      </c>
      <c r="R19" s="1" t="s">
        <v>57</v>
      </c>
      <c r="S19" s="1" t="s">
        <v>57</v>
      </c>
      <c r="T19" s="1" t="s">
        <v>55</v>
      </c>
      <c r="U19" s="1" t="s">
        <v>49</v>
      </c>
      <c r="V19" s="1" t="s">
        <v>39</v>
      </c>
      <c r="W19" s="8" t="s">
        <v>50</v>
      </c>
      <c r="X19">
        <f t="shared" si="1"/>
        <v>1.3</v>
      </c>
    </row>
    <row r="20" spans="1:24" ht="16.5" x14ac:dyDescent="0.35">
      <c r="A20" s="4" t="s">
        <v>39</v>
      </c>
      <c r="B20" s="1" t="s">
        <v>20</v>
      </c>
      <c r="C20" s="1" t="s">
        <v>85</v>
      </c>
      <c r="D20" s="1" t="s">
        <v>4</v>
      </c>
      <c r="E20" s="1">
        <v>1000</v>
      </c>
      <c r="F20" s="1" t="s">
        <v>46</v>
      </c>
      <c r="G20" s="1">
        <v>10000</v>
      </c>
      <c r="H20" s="1" t="s">
        <v>47</v>
      </c>
      <c r="I20" s="1" t="str">
        <f t="shared" si="0"/>
        <v>03</v>
      </c>
      <c r="J20" s="1">
        <v>1.3</v>
      </c>
      <c r="K20" s="1">
        <v>0</v>
      </c>
      <c r="L20" s="1">
        <v>0</v>
      </c>
      <c r="M20" s="1">
        <v>0</v>
      </c>
      <c r="N20" s="1">
        <v>1000</v>
      </c>
      <c r="O20" s="1">
        <v>10000</v>
      </c>
      <c r="P20" s="1" t="s">
        <v>60</v>
      </c>
      <c r="Q20" s="1">
        <v>0</v>
      </c>
      <c r="R20" s="1" t="s">
        <v>57</v>
      </c>
      <c r="S20" s="1" t="s">
        <v>57</v>
      </c>
      <c r="T20" s="1" t="s">
        <v>55</v>
      </c>
      <c r="U20" s="1" t="s">
        <v>49</v>
      </c>
      <c r="V20" s="1" t="s">
        <v>39</v>
      </c>
      <c r="W20" s="8" t="s">
        <v>50</v>
      </c>
      <c r="X20">
        <f t="shared" si="1"/>
        <v>1.3</v>
      </c>
    </row>
    <row r="21" spans="1:24" ht="16.5" x14ac:dyDescent="0.35">
      <c r="A21" s="4" t="s">
        <v>40</v>
      </c>
      <c r="B21" s="1" t="s">
        <v>21</v>
      </c>
      <c r="C21" s="1" t="s">
        <v>86</v>
      </c>
      <c r="D21" s="1" t="s">
        <v>3</v>
      </c>
      <c r="E21" s="1">
        <v>2</v>
      </c>
      <c r="F21" s="1" t="s">
        <v>52</v>
      </c>
      <c r="G21" s="1">
        <v>30000</v>
      </c>
      <c r="H21" s="1" t="s">
        <v>47</v>
      </c>
      <c r="I21" s="1" t="str">
        <f t="shared" si="0"/>
        <v>03</v>
      </c>
      <c r="J21" s="1">
        <v>75</v>
      </c>
      <c r="K21" s="1">
        <v>5</v>
      </c>
      <c r="L21" s="1">
        <v>0</v>
      </c>
      <c r="M21" s="1">
        <v>0</v>
      </c>
      <c r="N21" s="1">
        <v>60000</v>
      </c>
      <c r="O21" s="1">
        <v>60000</v>
      </c>
      <c r="P21" s="1" t="s">
        <v>53</v>
      </c>
      <c r="Q21" s="1">
        <v>12</v>
      </c>
      <c r="R21" s="1" t="s">
        <v>57</v>
      </c>
      <c r="S21" s="1" t="s">
        <v>57</v>
      </c>
      <c r="T21" s="1" t="s">
        <v>55</v>
      </c>
      <c r="U21" s="1" t="s">
        <v>49</v>
      </c>
      <c r="V21" s="1" t="s">
        <v>40</v>
      </c>
      <c r="W21" s="8" t="s">
        <v>50</v>
      </c>
      <c r="X21">
        <f t="shared" si="1"/>
        <v>80</v>
      </c>
    </row>
    <row r="22" spans="1:24" ht="16.5" x14ac:dyDescent="0.35">
      <c r="A22" s="4" t="s">
        <v>41</v>
      </c>
      <c r="B22" s="1" t="s">
        <v>22</v>
      </c>
      <c r="C22" s="1" t="s">
        <v>87</v>
      </c>
      <c r="D22" s="1" t="s">
        <v>0</v>
      </c>
      <c r="E22" s="1">
        <v>10</v>
      </c>
      <c r="F22" s="1" t="s">
        <v>88</v>
      </c>
      <c r="G22" s="1">
        <v>642</v>
      </c>
      <c r="H22" s="1" t="s">
        <v>47</v>
      </c>
      <c r="I22" s="1" t="str">
        <f t="shared" si="0"/>
        <v>03</v>
      </c>
      <c r="J22" s="1">
        <v>4</v>
      </c>
      <c r="K22" s="1">
        <v>15</v>
      </c>
      <c r="L22" s="1">
        <v>5</v>
      </c>
      <c r="M22" s="1">
        <v>0</v>
      </c>
      <c r="N22" s="1">
        <v>2568</v>
      </c>
      <c r="O22" s="1">
        <v>2568</v>
      </c>
      <c r="P22" s="1" t="s">
        <v>81</v>
      </c>
      <c r="Q22" s="1">
        <v>12</v>
      </c>
      <c r="R22" s="1" t="s">
        <v>57</v>
      </c>
      <c r="S22" s="1"/>
      <c r="T22" s="1"/>
      <c r="U22" s="1" t="s">
        <v>49</v>
      </c>
      <c r="V22" s="1" t="s">
        <v>41</v>
      </c>
      <c r="W22" s="8" t="s">
        <v>50</v>
      </c>
      <c r="X22">
        <f t="shared" si="1"/>
        <v>24</v>
      </c>
    </row>
    <row r="23" spans="1:24" ht="16.5" x14ac:dyDescent="0.35">
      <c r="A23" s="4" t="s">
        <v>41</v>
      </c>
      <c r="B23" s="1" t="s">
        <v>22</v>
      </c>
      <c r="C23" s="1" t="s">
        <v>89</v>
      </c>
      <c r="D23" s="1" t="s">
        <v>0</v>
      </c>
      <c r="E23" s="1">
        <v>10</v>
      </c>
      <c r="F23" s="1" t="s">
        <v>88</v>
      </c>
      <c r="G23" s="1">
        <v>636</v>
      </c>
      <c r="H23" s="1" t="s">
        <v>47</v>
      </c>
      <c r="I23" s="1" t="str">
        <f t="shared" si="0"/>
        <v>03</v>
      </c>
      <c r="J23" s="1">
        <v>4</v>
      </c>
      <c r="K23" s="1">
        <v>15</v>
      </c>
      <c r="L23" s="1">
        <v>5</v>
      </c>
      <c r="M23" s="1">
        <v>0</v>
      </c>
      <c r="N23" s="1">
        <v>2544</v>
      </c>
      <c r="O23" s="1">
        <v>2544</v>
      </c>
      <c r="P23" s="1" t="s">
        <v>81</v>
      </c>
      <c r="Q23" s="1">
        <v>12</v>
      </c>
      <c r="R23" s="1" t="s">
        <v>57</v>
      </c>
      <c r="S23" s="1"/>
      <c r="T23" s="1"/>
      <c r="U23" s="1" t="s">
        <v>49</v>
      </c>
      <c r="V23" s="1" t="s">
        <v>41</v>
      </c>
      <c r="W23" s="8" t="s">
        <v>50</v>
      </c>
      <c r="X23">
        <f t="shared" si="1"/>
        <v>24</v>
      </c>
    </row>
    <row r="24" spans="1:24" ht="16.5" x14ac:dyDescent="0.35">
      <c r="A24" s="4" t="s">
        <v>42</v>
      </c>
      <c r="B24" s="1" t="s">
        <v>23</v>
      </c>
      <c r="C24" s="1" t="s">
        <v>90</v>
      </c>
      <c r="D24" s="1" t="s">
        <v>3</v>
      </c>
      <c r="E24" s="1">
        <v>2</v>
      </c>
      <c r="F24" s="1" t="s">
        <v>52</v>
      </c>
      <c r="G24" s="1">
        <v>10000</v>
      </c>
      <c r="H24" s="1" t="s">
        <v>47</v>
      </c>
      <c r="I24" s="1" t="str">
        <f t="shared" si="0"/>
        <v>03</v>
      </c>
      <c r="J24" s="1">
        <v>25</v>
      </c>
      <c r="K24" s="1">
        <v>5</v>
      </c>
      <c r="L24" s="1">
        <v>0</v>
      </c>
      <c r="M24" s="1">
        <v>0</v>
      </c>
      <c r="N24" s="1">
        <v>20000</v>
      </c>
      <c r="O24" s="1">
        <v>20000</v>
      </c>
      <c r="P24" s="1" t="s">
        <v>53</v>
      </c>
      <c r="Q24" s="1">
        <v>12</v>
      </c>
      <c r="R24" s="1" t="s">
        <v>57</v>
      </c>
      <c r="S24" s="1" t="s">
        <v>57</v>
      </c>
      <c r="T24" s="1" t="s">
        <v>55</v>
      </c>
      <c r="U24" s="1" t="s">
        <v>49</v>
      </c>
      <c r="V24" s="1" t="s">
        <v>42</v>
      </c>
      <c r="W24" s="8" t="s">
        <v>50</v>
      </c>
      <c r="X24">
        <f t="shared" si="1"/>
        <v>30</v>
      </c>
    </row>
    <row r="25" spans="1:24" ht="16.5" x14ac:dyDescent="0.35">
      <c r="A25" s="4" t="s">
        <v>43</v>
      </c>
      <c r="B25" s="1" t="s">
        <v>24</v>
      </c>
      <c r="C25" s="1" t="s">
        <v>91</v>
      </c>
      <c r="D25" s="1" t="s">
        <v>4</v>
      </c>
      <c r="E25" s="1">
        <v>1000</v>
      </c>
      <c r="F25" s="1" t="s">
        <v>46</v>
      </c>
      <c r="G25" s="1">
        <v>200000</v>
      </c>
      <c r="H25" s="1" t="s">
        <v>47</v>
      </c>
      <c r="I25" s="1" t="str">
        <f t="shared" si="0"/>
        <v>03</v>
      </c>
      <c r="J25" s="1">
        <v>25</v>
      </c>
      <c r="K25" s="1">
        <v>0</v>
      </c>
      <c r="L25" s="1">
        <v>0</v>
      </c>
      <c r="M25" s="1">
        <v>0</v>
      </c>
      <c r="N25" s="1">
        <v>20000</v>
      </c>
      <c r="O25" s="1">
        <v>200000</v>
      </c>
      <c r="P25" s="1" t="s">
        <v>60</v>
      </c>
      <c r="Q25" s="1">
        <v>0</v>
      </c>
      <c r="R25" s="1" t="s">
        <v>57</v>
      </c>
      <c r="S25" s="1" t="s">
        <v>57</v>
      </c>
      <c r="T25" s="1" t="s">
        <v>55</v>
      </c>
      <c r="U25" s="1" t="s">
        <v>49</v>
      </c>
      <c r="V25" s="1" t="s">
        <v>43</v>
      </c>
      <c r="W25" s="8" t="s">
        <v>50</v>
      </c>
      <c r="X25">
        <f t="shared" si="1"/>
        <v>25</v>
      </c>
    </row>
    <row r="26" spans="1:24" ht="16.5" x14ac:dyDescent="0.35">
      <c r="A26" s="4" t="s">
        <v>43</v>
      </c>
      <c r="B26" s="1" t="s">
        <v>24</v>
      </c>
      <c r="C26" s="1" t="s">
        <v>92</v>
      </c>
      <c r="D26" s="1" t="s">
        <v>4</v>
      </c>
      <c r="E26" s="1">
        <v>1000</v>
      </c>
      <c r="F26" s="1" t="s">
        <v>46</v>
      </c>
      <c r="G26" s="1">
        <v>200000</v>
      </c>
      <c r="H26" s="1" t="s">
        <v>47</v>
      </c>
      <c r="I26" s="1" t="str">
        <f t="shared" si="0"/>
        <v>03</v>
      </c>
      <c r="J26" s="1">
        <v>25</v>
      </c>
      <c r="K26" s="1">
        <v>0</v>
      </c>
      <c r="L26" s="1">
        <v>0</v>
      </c>
      <c r="M26" s="1">
        <v>0</v>
      </c>
      <c r="N26" s="1">
        <v>20000</v>
      </c>
      <c r="O26" s="1">
        <v>200000</v>
      </c>
      <c r="P26" s="1" t="s">
        <v>60</v>
      </c>
      <c r="Q26" s="1">
        <v>0</v>
      </c>
      <c r="R26" s="1" t="s">
        <v>57</v>
      </c>
      <c r="S26" s="1" t="s">
        <v>57</v>
      </c>
      <c r="T26" s="1" t="s">
        <v>55</v>
      </c>
      <c r="U26" s="1" t="s">
        <v>49</v>
      </c>
      <c r="V26" s="1" t="s">
        <v>43</v>
      </c>
      <c r="W26" s="8" t="s">
        <v>50</v>
      </c>
      <c r="X26">
        <f t="shared" si="1"/>
        <v>25</v>
      </c>
    </row>
    <row r="27" spans="1:24" ht="16.5" x14ac:dyDescent="0.35">
      <c r="A27" s="4" t="s">
        <v>44</v>
      </c>
      <c r="B27" s="1" t="s">
        <v>93</v>
      </c>
      <c r="C27" s="1" t="s">
        <v>94</v>
      </c>
      <c r="D27" s="1" t="s">
        <v>4</v>
      </c>
      <c r="E27" s="1">
        <v>1000</v>
      </c>
      <c r="F27" s="1" t="s">
        <v>46</v>
      </c>
      <c r="G27" s="1">
        <v>300000</v>
      </c>
      <c r="H27" s="1" t="s">
        <v>47</v>
      </c>
      <c r="I27" s="1" t="str">
        <f t="shared" si="0"/>
        <v>03</v>
      </c>
      <c r="J27" s="1">
        <v>37.5</v>
      </c>
      <c r="K27" s="1">
        <v>0</v>
      </c>
      <c r="L27" s="1">
        <v>0</v>
      </c>
      <c r="M27" s="1">
        <v>0</v>
      </c>
      <c r="N27" s="1">
        <v>30000</v>
      </c>
      <c r="O27" s="1">
        <v>300000</v>
      </c>
      <c r="P27" s="1" t="s">
        <v>60</v>
      </c>
      <c r="Q27" s="1">
        <v>0</v>
      </c>
      <c r="R27" s="1" t="s">
        <v>57</v>
      </c>
      <c r="S27" s="1"/>
      <c r="T27" s="1"/>
      <c r="U27" s="1" t="s">
        <v>49</v>
      </c>
      <c r="V27" s="1" t="s">
        <v>44</v>
      </c>
      <c r="W27" s="8" t="s">
        <v>50</v>
      </c>
      <c r="X27">
        <f t="shared" si="1"/>
        <v>37.5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NJY</dc:creator>
  <cp:lastModifiedBy>NJY</cp:lastModifiedBy>
  <dcterms:created xsi:type="dcterms:W3CDTF">2023-06-04T09:08:11Z</dcterms:created>
  <dcterms:modified xsi:type="dcterms:W3CDTF">2023-06-04T09:57:44Z</dcterms:modified>
</cp:coreProperties>
</file>